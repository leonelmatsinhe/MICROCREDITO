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-105" yWindow="-105" windowWidth="19440" windowHeight="12450"/>
  </bookViews>
  <sheets>
    <sheet name="Sheet1" sheetId="1" r:id="rId1"/>
    <sheet name="Sheet2" sheetId="2" r:id="rId2"/>
  </sheets>
  <definedNames>
    <definedName name="_xlnm._FilterDatabase" localSheetId="0" hidden="1">Sheet1!$A$1:$Q$288</definedName>
  </definedName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56" i="1"/>
  <c r="E3" l="1"/>
  <c r="E47"/>
  <c r="E27"/>
  <c r="E233" l="1"/>
  <c r="E234"/>
  <c r="E235"/>
  <c r="E236"/>
  <c r="E237"/>
  <c r="E238"/>
  <c r="E239"/>
  <c r="E240"/>
  <c r="E241"/>
  <c r="E242"/>
  <c r="E243"/>
  <c r="E244"/>
  <c r="E246"/>
  <c r="E247"/>
  <c r="E248"/>
  <c r="E249"/>
  <c r="E250"/>
  <c r="E251"/>
  <c r="E252"/>
  <c r="E253"/>
  <c r="E254"/>
  <c r="E255"/>
  <c r="E231"/>
  <c r="E230"/>
  <c r="E229"/>
  <c r="E228"/>
  <c r="E227"/>
  <c r="E226"/>
  <c r="E225"/>
  <c r="E224"/>
  <c r="E223"/>
  <c r="E222"/>
  <c r="E221"/>
  <c r="E220"/>
  <c r="E219"/>
  <c r="E4" l="1"/>
  <c r="E5"/>
  <c r="E107"/>
  <c r="E7"/>
  <c r="E8"/>
  <c r="E9"/>
  <c r="E10"/>
  <c r="E11"/>
  <c r="E12"/>
  <c r="E13"/>
  <c r="E14"/>
  <c r="E15"/>
  <c r="E16"/>
  <c r="E17"/>
  <c r="E18"/>
  <c r="E19"/>
  <c r="E20"/>
  <c r="E21"/>
  <c r="E22"/>
  <c r="E23"/>
  <c r="E24"/>
  <c r="E25"/>
  <c r="E26"/>
  <c r="E28"/>
  <c r="E30"/>
  <c r="E31"/>
  <c r="E32"/>
  <c r="E33"/>
  <c r="E34"/>
  <c r="E35"/>
  <c r="E36"/>
  <c r="E37"/>
  <c r="E38"/>
  <c r="E39"/>
  <c r="E40"/>
  <c r="E41"/>
  <c r="E42"/>
  <c r="E43"/>
  <c r="E44"/>
  <c r="E45"/>
  <c r="E46"/>
  <c r="E48"/>
  <c r="E49"/>
  <c r="E50"/>
  <c r="E51"/>
  <c r="E52"/>
  <c r="E53"/>
  <c r="E54"/>
  <c r="E55"/>
  <c r="E56"/>
  <c r="E57"/>
  <c r="E58"/>
  <c r="E59"/>
  <c r="E60"/>
  <c r="E61"/>
  <c r="E62"/>
  <c r="E63"/>
  <c r="E64"/>
  <c r="E65"/>
  <c r="E66"/>
  <c r="E67"/>
  <c r="E68"/>
  <c r="E70"/>
  <c r="E71"/>
  <c r="E72"/>
  <c r="E73"/>
  <c r="E74"/>
  <c r="E2"/>
  <c r="E181"/>
  <c r="E182"/>
  <c r="E183"/>
  <c r="E184"/>
  <c r="E185"/>
  <c r="E186"/>
  <c r="E187"/>
  <c r="E188"/>
  <c r="E189"/>
  <c r="E190"/>
  <c r="E191"/>
  <c r="E192"/>
  <c r="E193"/>
  <c r="E194"/>
  <c r="E195"/>
  <c r="E196"/>
  <c r="E197"/>
  <c r="E198"/>
  <c r="E199"/>
  <c r="E200"/>
  <c r="E201"/>
  <c r="E202"/>
  <c r="E203"/>
  <c r="E204"/>
  <c r="E205"/>
  <c r="E206"/>
  <c r="E207"/>
  <c r="E208"/>
  <c r="E209"/>
  <c r="E210"/>
  <c r="E211"/>
  <c r="E212"/>
  <c r="E213"/>
  <c r="E214"/>
  <c r="E215"/>
  <c r="E216"/>
  <c r="E217"/>
  <c r="E218"/>
  <c r="E179"/>
  <c r="E178"/>
  <c r="E177"/>
  <c r="E176"/>
  <c r="E175"/>
  <c r="E174"/>
  <c r="E167"/>
  <c r="E168"/>
  <c r="E169"/>
  <c r="E170"/>
  <c r="E171"/>
  <c r="E172"/>
  <c r="E173"/>
  <c r="E75"/>
  <c r="E76"/>
  <c r="E77"/>
  <c r="E78"/>
  <c r="E79"/>
  <c r="E80"/>
  <c r="E81"/>
  <c r="E83"/>
  <c r="E84"/>
  <c r="E85"/>
  <c r="E86"/>
  <c r="E87"/>
  <c r="E88"/>
  <c r="E89"/>
  <c r="E90"/>
  <c r="E91"/>
  <c r="E92"/>
  <c r="E93"/>
  <c r="E94"/>
  <c r="E95"/>
  <c r="E96"/>
  <c r="E97"/>
  <c r="E98"/>
  <c r="E99"/>
  <c r="E100"/>
  <c r="E101"/>
  <c r="E102"/>
  <c r="E103"/>
  <c r="E104"/>
  <c r="E105"/>
  <c r="E106"/>
  <c r="E6"/>
  <c r="E108"/>
  <c r="E109"/>
  <c r="E110"/>
  <c r="E111"/>
  <c r="E112"/>
  <c r="E113"/>
  <c r="E114"/>
  <c r="E115"/>
  <c r="E118"/>
  <c r="E119"/>
  <c r="E121"/>
  <c r="E122"/>
  <c r="E123"/>
  <c r="E125"/>
  <c r="E126"/>
  <c r="E127"/>
  <c r="E128"/>
  <c r="E129"/>
  <c r="E130"/>
  <c r="E131"/>
  <c r="E133"/>
  <c r="E134"/>
  <c r="E138"/>
  <c r="E140"/>
  <c r="E141"/>
  <c r="E142"/>
  <c r="E143"/>
  <c r="E144"/>
  <c r="E145"/>
  <c r="E146"/>
  <c r="E147"/>
  <c r="E148"/>
  <c r="E149"/>
  <c r="E150"/>
  <c r="E151"/>
  <c r="E152"/>
  <c r="E153"/>
  <c r="E154"/>
  <c r="E155"/>
  <c r="E159"/>
  <c r="E160"/>
  <c r="E162"/>
  <c r="E163"/>
  <c r="E164"/>
  <c r="E161"/>
  <c r="A3" l="1"/>
  <c r="A4" s="1"/>
  <c r="A5" s="1"/>
  <c r="A6" s="1"/>
  <c r="A7" s="1"/>
  <c r="A8" s="1"/>
  <c r="A9" s="1"/>
  <c r="A10" s="1"/>
  <c r="A11" s="1"/>
  <c r="A12" s="1"/>
  <c r="A13" s="1"/>
  <c r="A14" s="1"/>
  <c r="A15" s="1"/>
  <c r="A16" s="1"/>
  <c r="A17" s="1"/>
  <c r="A18" s="1"/>
  <c r="A19" s="1"/>
  <c r="A20" s="1"/>
  <c r="A21" s="1"/>
  <c r="A22" s="1"/>
  <c r="A23" s="1"/>
  <c r="A24" s="1"/>
  <c r="A25" s="1"/>
  <c r="A26" s="1"/>
  <c r="A27" s="1"/>
  <c r="A28" s="1"/>
  <c r="A29" s="1"/>
  <c r="A30" s="1"/>
  <c r="A31" s="1"/>
  <c r="A32" s="1"/>
  <c r="A33" s="1"/>
  <c r="A34" s="1"/>
  <c r="A35" s="1"/>
  <c r="A36" s="1"/>
  <c r="A37" s="1"/>
  <c r="A38" s="1"/>
  <c r="A39" s="1"/>
  <c r="A40" s="1"/>
  <c r="A41" s="1"/>
  <c r="A42" s="1"/>
  <c r="A43" s="1"/>
  <c r="A44" s="1"/>
  <c r="A45" s="1"/>
  <c r="A46" s="1"/>
  <c r="A47" s="1"/>
  <c r="A48" s="1"/>
  <c r="A49" s="1"/>
  <c r="A50" s="1"/>
  <c r="A51" s="1"/>
  <c r="A52" s="1"/>
  <c r="A53" s="1"/>
  <c r="A54" s="1"/>
  <c r="A55" s="1"/>
  <c r="A56" s="1"/>
  <c r="A57" s="1"/>
  <c r="A58" s="1"/>
  <c r="A59" s="1"/>
  <c r="A60" s="1"/>
  <c r="A61" s="1"/>
  <c r="A62" s="1"/>
  <c r="A63" s="1"/>
  <c r="A64" s="1"/>
  <c r="A65" s="1"/>
  <c r="A66" s="1"/>
  <c r="A67" s="1"/>
  <c r="A68" s="1"/>
  <c r="A69" s="1"/>
  <c r="A70" s="1"/>
  <c r="A71" s="1"/>
  <c r="A72" s="1"/>
  <c r="A73" s="1"/>
  <c r="A74" s="1"/>
  <c r="A75" s="1"/>
  <c r="A76" s="1"/>
  <c r="A77" s="1"/>
  <c r="A78" s="1"/>
  <c r="A79" s="1"/>
  <c r="A80" s="1"/>
  <c r="A81" s="1"/>
  <c r="A82" s="1"/>
  <c r="A83" s="1"/>
  <c r="A84" s="1"/>
  <c r="A85" s="1"/>
  <c r="A86" s="1"/>
  <c r="A87" s="1"/>
  <c r="A88" s="1"/>
  <c r="A89" s="1"/>
  <c r="A90" s="1"/>
  <c r="A91" s="1"/>
  <c r="A92" s="1"/>
  <c r="A93" s="1"/>
  <c r="A94" s="1"/>
  <c r="A95" s="1"/>
  <c r="A96" s="1"/>
  <c r="A97" s="1"/>
  <c r="A98" s="1"/>
  <c r="A99" s="1"/>
  <c r="A100" s="1"/>
  <c r="A101" s="1"/>
  <c r="A102" s="1"/>
  <c r="A103" s="1"/>
  <c r="A104" s="1"/>
  <c r="A105" s="1"/>
  <c r="A106" s="1"/>
  <c r="A107" s="1"/>
  <c r="A108" s="1"/>
  <c r="A109" s="1"/>
  <c r="A110" s="1"/>
  <c r="A111" s="1"/>
  <c r="A112" s="1"/>
  <c r="A113" s="1"/>
  <c r="A114" s="1"/>
  <c r="A115" s="1"/>
  <c r="A116" s="1"/>
  <c r="A117" s="1"/>
  <c r="A118" s="1"/>
  <c r="A119" s="1"/>
  <c r="A120" s="1"/>
  <c r="A121" s="1"/>
  <c r="A122" s="1"/>
  <c r="A123" s="1"/>
  <c r="A124" s="1"/>
  <c r="A125" s="1"/>
  <c r="A126" s="1"/>
  <c r="A127" s="1"/>
  <c r="A128" s="1"/>
  <c r="A129" s="1"/>
  <c r="A130" s="1"/>
  <c r="A131" s="1"/>
  <c r="A132" s="1"/>
  <c r="A133" s="1"/>
  <c r="A134" s="1"/>
  <c r="A135" s="1"/>
  <c r="A136" s="1"/>
  <c r="A137" s="1"/>
  <c r="A138" s="1"/>
  <c r="A139" s="1"/>
  <c r="A140" s="1"/>
  <c r="A141" s="1"/>
  <c r="A142" s="1"/>
  <c r="A143" s="1"/>
  <c r="A144" s="1"/>
  <c r="A145" s="1"/>
  <c r="A146" s="1"/>
  <c r="A147" s="1"/>
  <c r="A148" s="1"/>
  <c r="A149" s="1"/>
  <c r="A150" s="1"/>
  <c r="A151" s="1"/>
  <c r="A152" s="1"/>
  <c r="A153" s="1"/>
  <c r="A154" s="1"/>
  <c r="A155" s="1"/>
  <c r="A156" s="1"/>
  <c r="A157" s="1"/>
  <c r="A158" s="1"/>
  <c r="A159" s="1"/>
  <c r="A160" s="1"/>
  <c r="A161" s="1"/>
  <c r="A162" s="1"/>
  <c r="A163" s="1"/>
  <c r="A164" s="1"/>
  <c r="A165" s="1"/>
  <c r="A166" s="1"/>
  <c r="A167" s="1"/>
  <c r="A168" s="1"/>
  <c r="A169" s="1"/>
  <c r="A170" s="1"/>
  <c r="A171" s="1"/>
  <c r="A172" s="1"/>
  <c r="A173" s="1"/>
  <c r="A174" s="1"/>
  <c r="A175" s="1"/>
  <c r="A176" s="1"/>
  <c r="A177" s="1"/>
  <c r="A178" s="1"/>
  <c r="A179" s="1"/>
  <c r="A180" s="1"/>
  <c r="A181" s="1"/>
  <c r="A182" s="1"/>
  <c r="A183" s="1"/>
  <c r="A184" s="1"/>
  <c r="A185" s="1"/>
  <c r="A186" s="1"/>
  <c r="A187" s="1"/>
  <c r="A188" s="1"/>
  <c r="A189" s="1"/>
  <c r="A190" s="1"/>
  <c r="A191" s="1"/>
  <c r="A192" s="1"/>
  <c r="A193" s="1"/>
  <c r="A194" s="1"/>
  <c r="A195" s="1"/>
  <c r="A196" s="1"/>
  <c r="A197" s="1"/>
  <c r="A198" s="1"/>
  <c r="A199" s="1"/>
  <c r="A200" s="1"/>
  <c r="A201" s="1"/>
  <c r="A202" s="1"/>
  <c r="A203" s="1"/>
  <c r="A204" s="1"/>
  <c r="A205" s="1"/>
  <c r="A206" s="1"/>
  <c r="A207" s="1"/>
  <c r="A208" s="1"/>
  <c r="A209" s="1"/>
  <c r="A210" s="1"/>
  <c r="A211" s="1"/>
  <c r="A212" s="1"/>
  <c r="A213" s="1"/>
  <c r="A214" s="1"/>
  <c r="A215" s="1"/>
  <c r="A216" s="1"/>
  <c r="A217" s="1"/>
  <c r="A218" s="1"/>
  <c r="A219" s="1"/>
  <c r="A220" s="1"/>
  <c r="A221" s="1"/>
  <c r="A222" s="1"/>
  <c r="A223" s="1"/>
  <c r="A224" s="1"/>
  <c r="A225" s="1"/>
  <c r="A226" s="1"/>
  <c r="A227" s="1"/>
  <c r="A228" s="1"/>
  <c r="A229" s="1"/>
  <c r="A230" s="1"/>
  <c r="A231" s="1"/>
  <c r="A232" s="1"/>
  <c r="A233" s="1"/>
  <c r="A234" s="1"/>
  <c r="A235" s="1"/>
  <c r="A236" s="1"/>
  <c r="A237" s="1"/>
  <c r="A238" s="1"/>
  <c r="A239" s="1"/>
  <c r="A240" s="1"/>
  <c r="A241" s="1"/>
  <c r="A242" s="1"/>
  <c r="A243" s="1"/>
  <c r="A244" s="1"/>
  <c r="A245" s="1"/>
  <c r="A246" s="1"/>
  <c r="A247" s="1"/>
  <c r="A248" s="1"/>
  <c r="A249" s="1"/>
  <c r="A250" s="1"/>
  <c r="A251" s="1"/>
  <c r="A252" s="1"/>
  <c r="A253" s="1"/>
  <c r="A254" s="1"/>
  <c r="A255" s="1"/>
</calcChain>
</file>

<file path=xl/sharedStrings.xml><?xml version="1.0" encoding="utf-8"?>
<sst xmlns="http://schemas.openxmlformats.org/spreadsheetml/2006/main" count="2444" uniqueCount="476">
  <si>
    <t>Nome do Candidato</t>
  </si>
  <si>
    <t>Bairro</t>
  </si>
  <si>
    <t>Contacto</t>
  </si>
  <si>
    <t>BI</t>
  </si>
  <si>
    <t>NUIT</t>
  </si>
  <si>
    <t>Declaração do Bairro</t>
  </si>
  <si>
    <t>Aprovado</t>
  </si>
  <si>
    <t>Reprovado</t>
  </si>
  <si>
    <t>OBS</t>
  </si>
  <si>
    <r>
      <t>Tipo de Neg</t>
    </r>
    <r>
      <rPr>
        <b/>
        <sz val="11"/>
        <color theme="1"/>
        <rFont val="Calibri"/>
        <family val="2"/>
      </rPr>
      <t>ó</t>
    </r>
    <r>
      <rPr>
        <b/>
        <sz val="11"/>
        <color theme="1"/>
        <rFont val="Arial Narrow"/>
        <family val="2"/>
      </rPr>
      <t>cio</t>
    </r>
  </si>
  <si>
    <r>
      <t>Formul</t>
    </r>
    <r>
      <rPr>
        <b/>
        <sz val="11"/>
        <color theme="1"/>
        <rFont val="Calibri"/>
        <family val="2"/>
      </rPr>
      <t>á</t>
    </r>
    <r>
      <rPr>
        <b/>
        <sz val="11"/>
        <color theme="1"/>
        <rFont val="Arial Narrow"/>
        <family val="2"/>
      </rPr>
      <t>rios Preenchidos</t>
    </r>
  </si>
  <si>
    <r>
      <t>Safari Jo</t>
    </r>
    <r>
      <rPr>
        <sz val="11"/>
        <color theme="1"/>
        <rFont val="Calibri"/>
        <family val="2"/>
      </rPr>
      <t>ã</t>
    </r>
    <r>
      <rPr>
        <sz val="11"/>
        <color theme="1"/>
        <rFont val="Arial Narrow"/>
        <family val="2"/>
      </rPr>
      <t>o Morena</t>
    </r>
  </si>
  <si>
    <t>Larde</t>
  </si>
  <si>
    <t>a</t>
  </si>
  <si>
    <t>Grupo Solidário</t>
  </si>
  <si>
    <t>Valor do Emprestimo</t>
  </si>
  <si>
    <t>Taxa</t>
  </si>
  <si>
    <t>Compra e venda de material de pesca</t>
  </si>
  <si>
    <t>Tipo de Emprestimo</t>
  </si>
  <si>
    <t>PME</t>
  </si>
  <si>
    <t>Cassimo Amade Loia</t>
  </si>
  <si>
    <t>Compra e venda de roupa</t>
  </si>
  <si>
    <r>
      <t>Com</t>
    </r>
    <r>
      <rPr>
        <sz val="11"/>
        <color theme="1"/>
        <rFont val="Calibri"/>
        <family val="2"/>
      </rPr>
      <t>é</t>
    </r>
    <r>
      <rPr>
        <sz val="11"/>
        <color theme="1"/>
        <rFont val="Arial Narrow"/>
        <family val="2"/>
      </rPr>
      <t>rcio</t>
    </r>
  </si>
  <si>
    <t>Sim</t>
  </si>
  <si>
    <t>Albertino Saide</t>
  </si>
  <si>
    <t>r</t>
  </si>
  <si>
    <t>Alberto Espande</t>
  </si>
  <si>
    <t>Comércio</t>
  </si>
  <si>
    <t>Nr</t>
  </si>
  <si>
    <r>
      <t>Felisberto Ant</t>
    </r>
    <r>
      <rPr>
        <sz val="11"/>
        <color theme="1"/>
        <rFont val="Calibri"/>
        <family val="2"/>
      </rPr>
      <t>ó</t>
    </r>
    <r>
      <rPr>
        <sz val="11"/>
        <color theme="1"/>
        <rFont val="Arial Narrow"/>
        <family val="2"/>
      </rPr>
      <t>nio Manuel</t>
    </r>
  </si>
  <si>
    <t>Francisco de Souja Mulapa</t>
  </si>
  <si>
    <r>
      <t>Restaura</t>
    </r>
    <r>
      <rPr>
        <sz val="11"/>
        <color theme="1"/>
        <rFont val="Calibri"/>
        <family val="2"/>
      </rPr>
      <t>ção e bar</t>
    </r>
  </si>
  <si>
    <t>Restauração</t>
  </si>
  <si>
    <t>Gidaide Arlindo Abacar</t>
  </si>
  <si>
    <t>Peixaria e comercio</t>
  </si>
  <si>
    <t>Domingos Ossufo Aiuba</t>
  </si>
  <si>
    <t>Venda de galinhas</t>
  </si>
  <si>
    <t>Abudo Raul Manuel</t>
  </si>
  <si>
    <r>
      <t>Avicultura e com</t>
    </r>
    <r>
      <rPr>
        <sz val="11"/>
        <color theme="1"/>
        <rFont val="Calibri"/>
        <family val="2"/>
      </rPr>
      <t>é</t>
    </r>
    <r>
      <rPr>
        <sz val="11"/>
        <color theme="1"/>
        <rFont val="Arial Narrow"/>
        <family val="2"/>
      </rPr>
      <t>rcio</t>
    </r>
  </si>
  <si>
    <t>Fidel Manuel Atumane</t>
  </si>
  <si>
    <t>Omar Martinho Nicupar</t>
  </si>
  <si>
    <r>
      <t>Com</t>
    </r>
    <r>
      <rPr>
        <sz val="11"/>
        <color theme="1"/>
        <rFont val="Calibri"/>
        <family val="2"/>
      </rPr>
      <t>é</t>
    </r>
    <r>
      <rPr>
        <sz val="11"/>
        <color theme="1"/>
        <rFont val="Arial Narrow"/>
        <family val="2"/>
      </rPr>
      <t>rcio geral</t>
    </r>
  </si>
  <si>
    <t>Sozinho Rafael Domingos</t>
  </si>
  <si>
    <r>
      <t>Digitaliza</t>
    </r>
    <r>
      <rPr>
        <sz val="11"/>
        <color theme="1"/>
        <rFont val="Calibri"/>
        <family val="2"/>
      </rPr>
      <t>çã</t>
    </r>
    <r>
      <rPr>
        <sz val="11"/>
        <color theme="1"/>
        <rFont val="Arial Narrow"/>
        <family val="2"/>
      </rPr>
      <t>o e impress</t>
    </r>
    <r>
      <rPr>
        <sz val="11"/>
        <color theme="1"/>
        <rFont val="Calibri"/>
        <family val="2"/>
      </rPr>
      <t>ã</t>
    </r>
    <r>
      <rPr>
        <sz val="11"/>
        <color theme="1"/>
        <rFont val="Arial Narrow"/>
        <family val="2"/>
      </rPr>
      <t>o de documentos</t>
    </r>
  </si>
  <si>
    <r>
      <t>Presta</t>
    </r>
    <r>
      <rPr>
        <sz val="11"/>
        <color theme="1"/>
        <rFont val="Calibri"/>
        <family val="2"/>
      </rPr>
      <t>çã</t>
    </r>
    <r>
      <rPr>
        <sz val="11"/>
        <color theme="1"/>
        <rFont val="Arial Narrow"/>
        <family val="2"/>
      </rPr>
      <t>o de servi</t>
    </r>
    <r>
      <rPr>
        <sz val="11"/>
        <color theme="1"/>
        <rFont val="Calibri"/>
        <family val="2"/>
      </rPr>
      <t>ç</t>
    </r>
    <r>
      <rPr>
        <sz val="11"/>
        <color theme="1"/>
        <rFont val="Arial Narrow"/>
        <family val="2"/>
      </rPr>
      <t>os</t>
    </r>
  </si>
  <si>
    <t>Nito Arlindo Mecutula Yovilela</t>
  </si>
  <si>
    <r>
      <t>Venda de vestu</t>
    </r>
    <r>
      <rPr>
        <sz val="11"/>
        <color theme="1"/>
        <rFont val="Calibri"/>
        <family val="2"/>
      </rPr>
      <t>á</t>
    </r>
    <r>
      <rPr>
        <sz val="11"/>
        <color theme="1"/>
        <rFont val="Arial Narrow"/>
        <family val="2"/>
      </rPr>
      <t>rio</t>
    </r>
  </si>
  <si>
    <t>Mouzinho Ussene Jacar</t>
  </si>
  <si>
    <r>
      <t>Ahamada La</t>
    </r>
    <r>
      <rPr>
        <sz val="11"/>
        <color theme="1"/>
        <rFont val="Calibri"/>
        <family val="2"/>
      </rPr>
      <t>ç</t>
    </r>
    <r>
      <rPr>
        <sz val="11"/>
        <color theme="1"/>
        <rFont val="Arial Narrow"/>
        <family val="2"/>
      </rPr>
      <t>o Martinho</t>
    </r>
  </si>
  <si>
    <t>Bartolomeu Alfredo Vasco</t>
  </si>
  <si>
    <t>Falta declaração do bairro de um membro</t>
  </si>
  <si>
    <t>João Juma Momade</t>
  </si>
  <si>
    <r>
      <t>Venda de electr</t>
    </r>
    <r>
      <rPr>
        <sz val="11"/>
        <color theme="1"/>
        <rFont val="Calibri"/>
        <family val="2"/>
      </rPr>
      <t>ó</t>
    </r>
    <r>
      <rPr>
        <sz val="11"/>
        <color theme="1"/>
        <rFont val="Arial Narrow"/>
        <family val="2"/>
      </rPr>
      <t>nicos</t>
    </r>
  </si>
  <si>
    <r>
      <t>N</t>
    </r>
    <r>
      <rPr>
        <sz val="11"/>
        <color theme="1"/>
        <rFont val="Calibri"/>
        <family val="2"/>
      </rPr>
      <t>ã</t>
    </r>
    <r>
      <rPr>
        <sz val="11"/>
        <color theme="1"/>
        <rFont val="Arial Narrow"/>
        <family val="2"/>
      </rPr>
      <t>o</t>
    </r>
  </si>
  <si>
    <r>
      <t>Formul</t>
    </r>
    <r>
      <rPr>
        <sz val="11"/>
        <color theme="1"/>
        <rFont val="Calibri"/>
        <family val="2"/>
      </rPr>
      <t>á</t>
    </r>
    <r>
      <rPr>
        <sz val="11"/>
        <color theme="1"/>
        <rFont val="Arial Narrow"/>
        <family val="2"/>
      </rPr>
      <t>rio n</t>
    </r>
    <r>
      <rPr>
        <sz val="11"/>
        <color theme="1"/>
        <rFont val="Calibri"/>
        <family val="2"/>
      </rPr>
      <t>ã</t>
    </r>
    <r>
      <rPr>
        <sz val="11"/>
        <color theme="1"/>
        <rFont val="Arial Narrow"/>
        <family val="2"/>
      </rPr>
      <t>o preenchido</t>
    </r>
  </si>
  <si>
    <t>Paulino Abacar</t>
  </si>
  <si>
    <t xml:space="preserve">Falta assinatura </t>
  </si>
  <si>
    <r>
      <t>Jos</t>
    </r>
    <r>
      <rPr>
        <sz val="11"/>
        <color theme="1"/>
        <rFont val="Calibri"/>
        <family val="2"/>
      </rPr>
      <t>é</t>
    </r>
    <r>
      <rPr>
        <sz val="11"/>
        <color theme="1"/>
        <rFont val="Arial Narrow"/>
        <family val="2"/>
      </rPr>
      <t xml:space="preserve"> Amorim Ossufo</t>
    </r>
  </si>
  <si>
    <r>
      <t>Agente de carteira m</t>
    </r>
    <r>
      <rPr>
        <sz val="11"/>
        <color theme="1"/>
        <rFont val="Calibri"/>
        <family val="2"/>
      </rPr>
      <t>ó</t>
    </r>
    <r>
      <rPr>
        <sz val="11"/>
        <color theme="1"/>
        <rFont val="Arial Narrow"/>
        <family val="2"/>
      </rPr>
      <t>vel</t>
    </r>
  </si>
  <si>
    <r>
      <t>Carteira m</t>
    </r>
    <r>
      <rPr>
        <sz val="11"/>
        <color theme="1"/>
        <rFont val="Calibri"/>
        <family val="2"/>
      </rPr>
      <t>ó</t>
    </r>
    <r>
      <rPr>
        <sz val="11"/>
        <color theme="1"/>
        <rFont val="Arial Narrow"/>
        <family val="2"/>
      </rPr>
      <t>vel</t>
    </r>
  </si>
  <si>
    <t>Elias Francisco Marcelino</t>
  </si>
  <si>
    <t>Ali Adelino</t>
  </si>
  <si>
    <t>Venda de peixe</t>
  </si>
  <si>
    <r>
      <t>Selemane Ros</t>
    </r>
    <r>
      <rPr>
        <sz val="11"/>
        <color theme="1"/>
        <rFont val="Calibri"/>
        <family val="2"/>
      </rPr>
      <t>á</t>
    </r>
    <r>
      <rPr>
        <sz val="11"/>
        <color theme="1"/>
        <rFont val="Arial Narrow"/>
        <family val="2"/>
      </rPr>
      <t>rio Branco</t>
    </r>
  </si>
  <si>
    <t>Venda de roupa</t>
  </si>
  <si>
    <t>Falta BI</t>
  </si>
  <si>
    <t>Atumane Mecussete</t>
  </si>
  <si>
    <t>Insumos pesqueiros</t>
  </si>
  <si>
    <t>Amade Ussene</t>
  </si>
  <si>
    <t>Anussa Abubacar Raja</t>
  </si>
  <si>
    <t>Epitie Atumane</t>
  </si>
  <si>
    <t>Chande Momade</t>
  </si>
  <si>
    <r>
      <t>Venda de insumos agr</t>
    </r>
    <r>
      <rPr>
        <sz val="11"/>
        <color theme="1"/>
        <rFont val="Calibri"/>
        <family val="2"/>
      </rPr>
      <t>í</t>
    </r>
    <r>
      <rPr>
        <sz val="11"/>
        <color theme="1"/>
        <rFont val="Arial Narrow"/>
        <family val="2"/>
      </rPr>
      <t>colas</t>
    </r>
  </si>
  <si>
    <t>Selemane Momade Assane Combo</t>
  </si>
  <si>
    <r>
      <t>Venda de pe</t>
    </r>
    <r>
      <rPr>
        <sz val="11"/>
        <color theme="1"/>
        <rFont val="Calibri"/>
        <family val="2"/>
      </rPr>
      <t>ç</t>
    </r>
    <r>
      <rPr>
        <sz val="11"/>
        <color theme="1"/>
        <rFont val="Arial Narrow"/>
        <family val="2"/>
      </rPr>
      <t>as de motorizadas</t>
    </r>
  </si>
  <si>
    <t>Momade José Ussene</t>
  </si>
  <si>
    <r>
      <t>Serralharia mec</t>
    </r>
    <r>
      <rPr>
        <sz val="11"/>
        <color theme="1"/>
        <rFont val="Calibri"/>
        <family val="2"/>
      </rPr>
      <t>â</t>
    </r>
    <r>
      <rPr>
        <sz val="11"/>
        <color theme="1"/>
        <rFont val="Arial Narrow"/>
        <family val="2"/>
      </rPr>
      <t>nica</t>
    </r>
  </si>
  <si>
    <t>Prestação de serviços</t>
  </si>
  <si>
    <t>Assane Assane Nancala</t>
  </si>
  <si>
    <t>Mutaquiua Mussa Momade</t>
  </si>
  <si>
    <t xml:space="preserve"> </t>
  </si>
  <si>
    <t>Alexandre Constantino</t>
  </si>
  <si>
    <t>Venda de sumplementos naturais</t>
  </si>
  <si>
    <t>Restauração e bar</t>
  </si>
  <si>
    <r>
      <t xml:space="preserve">   Presta</t>
    </r>
    <r>
      <rPr>
        <sz val="11"/>
        <color theme="1"/>
        <rFont val="Calibri"/>
        <family val="2"/>
      </rPr>
      <t>çã</t>
    </r>
    <r>
      <rPr>
        <sz val="11"/>
        <color theme="1"/>
        <rFont val="Arial Narrow"/>
        <family val="2"/>
      </rPr>
      <t>o de servi</t>
    </r>
    <r>
      <rPr>
        <sz val="11"/>
        <color theme="1"/>
        <rFont val="Calibri"/>
        <family val="2"/>
      </rPr>
      <t>ç</t>
    </r>
    <r>
      <rPr>
        <sz val="11"/>
        <color theme="1"/>
        <rFont val="Arial Narrow"/>
        <family val="2"/>
      </rPr>
      <t>os</t>
    </r>
  </si>
  <si>
    <t>Saide Assane Chande</t>
  </si>
  <si>
    <r>
      <t>Venda de material de constru</t>
    </r>
    <r>
      <rPr>
        <sz val="11"/>
        <color theme="1"/>
        <rFont val="Calibri"/>
        <family val="2"/>
      </rPr>
      <t>çã</t>
    </r>
    <r>
      <rPr>
        <sz val="11"/>
        <color theme="1"/>
        <rFont val="Arial Narrow"/>
        <family val="2"/>
      </rPr>
      <t>o</t>
    </r>
  </si>
  <si>
    <r>
      <t>Selemane Tom</t>
    </r>
    <r>
      <rPr>
        <sz val="11"/>
        <color theme="1"/>
        <rFont val="Calibri"/>
        <family val="2"/>
      </rPr>
      <t>á</t>
    </r>
    <r>
      <rPr>
        <sz val="11"/>
        <color theme="1"/>
        <rFont val="Arial Narrow"/>
        <family val="2"/>
      </rPr>
      <t>s Sual</t>
    </r>
    <r>
      <rPr>
        <sz val="11"/>
        <color theme="1"/>
        <rFont val="Calibri"/>
        <family val="2"/>
      </rPr>
      <t>é</t>
    </r>
  </si>
  <si>
    <t>Pintura de edificios</t>
  </si>
  <si>
    <r>
      <t>S</t>
    </r>
    <r>
      <rPr>
        <sz val="11"/>
        <color theme="1"/>
        <rFont val="Calibri"/>
        <family val="2"/>
      </rPr>
      <t>é</t>
    </r>
    <r>
      <rPr>
        <sz val="11"/>
        <color theme="1"/>
        <rFont val="Arial Narrow"/>
        <family val="2"/>
      </rPr>
      <t>rgio Ibraimo Jos</t>
    </r>
    <r>
      <rPr>
        <sz val="11"/>
        <color theme="1"/>
        <rFont val="Calibri"/>
        <family val="2"/>
      </rPr>
      <t>é</t>
    </r>
  </si>
  <si>
    <t>Carpintaria</t>
  </si>
  <si>
    <t>Falta assinatura</t>
  </si>
  <si>
    <t>Venda de Produtos alimentares</t>
  </si>
  <si>
    <t>Narciso João Braimo</t>
  </si>
  <si>
    <t>Venda de produtos alimentares</t>
  </si>
  <si>
    <t>comércio</t>
  </si>
  <si>
    <r>
      <t>Centro de Forma</t>
    </r>
    <r>
      <rPr>
        <sz val="11"/>
        <color theme="1"/>
        <rFont val="Calibri"/>
        <family val="2"/>
      </rPr>
      <t>çã</t>
    </r>
    <r>
      <rPr>
        <sz val="11"/>
        <color theme="1"/>
        <rFont val="Arial Narrow"/>
        <family val="2"/>
      </rPr>
      <t>o e manuten</t>
    </r>
    <r>
      <rPr>
        <sz val="11"/>
        <color theme="1"/>
        <rFont val="Calibri"/>
        <family val="2"/>
      </rPr>
      <t>ç</t>
    </r>
    <r>
      <rPr>
        <sz val="11"/>
        <color theme="1"/>
        <rFont val="Arial Narrow"/>
        <family val="2"/>
      </rPr>
      <t>ão de equipamnentos  presta</t>
    </r>
    <r>
      <rPr>
        <sz val="11"/>
        <color theme="1"/>
        <rFont val="Calibri"/>
        <family val="2"/>
      </rPr>
      <t>ç</t>
    </r>
    <r>
      <rPr>
        <sz val="11"/>
        <color theme="1"/>
        <rFont val="Arial Narrow"/>
        <family val="2"/>
      </rPr>
      <t>ão de Servi</t>
    </r>
    <r>
      <rPr>
        <sz val="11"/>
        <color theme="1"/>
        <rFont val="Calibri"/>
        <family val="2"/>
      </rPr>
      <t>ç</t>
    </r>
    <r>
      <rPr>
        <sz val="11"/>
        <color theme="1"/>
        <rFont val="Arial Narrow"/>
        <family val="2"/>
      </rPr>
      <t>os</t>
    </r>
  </si>
  <si>
    <t xml:space="preserve">Larde </t>
  </si>
  <si>
    <t>Pesca artesanal</t>
  </si>
  <si>
    <t>Mujuane Mucussete Muquirimane</t>
  </si>
  <si>
    <t xml:space="preserve">Compra e venda de cereais </t>
  </si>
  <si>
    <t xml:space="preserve">Reprovado </t>
  </si>
  <si>
    <t xml:space="preserve">Momade Amaral </t>
  </si>
  <si>
    <t>Omar Bramuge</t>
  </si>
  <si>
    <t xml:space="preserve">Aprovado </t>
  </si>
  <si>
    <t>Lito Manuel Rede</t>
  </si>
  <si>
    <t xml:space="preserve">Amade Braimo </t>
  </si>
  <si>
    <t>Juma Manuel Mirruco</t>
  </si>
  <si>
    <t>Assane Amade</t>
  </si>
  <si>
    <r>
      <t>Venda de pe</t>
    </r>
    <r>
      <rPr>
        <sz val="11"/>
        <color theme="1"/>
        <rFont val="Calibri"/>
        <family val="2"/>
      </rPr>
      <t>ç</t>
    </r>
    <r>
      <rPr>
        <sz val="11"/>
        <color theme="1"/>
        <rFont val="Arial Narrow"/>
        <family val="2"/>
      </rPr>
      <t>as de Motorizada</t>
    </r>
  </si>
  <si>
    <t>Dauda Alimo Selimane</t>
  </si>
  <si>
    <t>Amisse Assane Combo</t>
  </si>
  <si>
    <t>Chabane Selemane</t>
  </si>
  <si>
    <t xml:space="preserve">Manuel Momade </t>
  </si>
  <si>
    <t xml:space="preserve">Venda de Materia de Construcao </t>
  </si>
  <si>
    <r>
      <t>Material de Constru</t>
    </r>
    <r>
      <rPr>
        <sz val="11"/>
        <color theme="1"/>
        <rFont val="Calibri"/>
        <family val="2"/>
      </rPr>
      <t>ç</t>
    </r>
    <r>
      <rPr>
        <sz val="11"/>
        <color theme="1"/>
        <rFont val="Arial Narrow"/>
        <family val="2"/>
      </rPr>
      <t>ão</t>
    </r>
  </si>
  <si>
    <t>Adelino Armando Naithe</t>
  </si>
  <si>
    <t>Bachir Ernesto Panjoloha</t>
  </si>
  <si>
    <t>Talho</t>
  </si>
  <si>
    <t>DomingosXavier Pedro</t>
  </si>
  <si>
    <t>Venda de insumos agrícolas</t>
  </si>
  <si>
    <t>Ruben Carlos Joaquim</t>
  </si>
  <si>
    <t>Criação de gado Bovino</t>
  </si>
  <si>
    <t>Atumane Suleimane</t>
  </si>
  <si>
    <t>Juma Seleimane</t>
  </si>
  <si>
    <t>Carlos Momade Higino</t>
  </si>
  <si>
    <t>Avicultura e comércio</t>
  </si>
  <si>
    <t>Muthithicoma</t>
  </si>
  <si>
    <r>
      <t>Agro-neg</t>
    </r>
    <r>
      <rPr>
        <sz val="11"/>
        <color theme="1"/>
        <rFont val="Calibri"/>
        <family val="2"/>
      </rPr>
      <t>ó</t>
    </r>
    <r>
      <rPr>
        <sz val="11"/>
        <color theme="1"/>
        <rFont val="Arial Narrow"/>
        <family val="2"/>
      </rPr>
      <t>cio</t>
    </r>
  </si>
  <si>
    <r>
      <t>Acess</t>
    </r>
    <r>
      <rPr>
        <sz val="11"/>
        <color theme="1"/>
        <rFont val="Calibri"/>
        <family val="2"/>
      </rPr>
      <t>ó</t>
    </r>
    <r>
      <rPr>
        <sz val="11"/>
        <color theme="1"/>
        <rFont val="Arial Narrow"/>
        <family val="2"/>
      </rPr>
      <t>rios e Electr</t>
    </r>
    <r>
      <rPr>
        <sz val="11"/>
        <color theme="1"/>
        <rFont val="Calibri"/>
        <family val="2"/>
      </rPr>
      <t>ó</t>
    </r>
    <r>
      <rPr>
        <sz val="11"/>
        <color theme="1"/>
        <rFont val="Arial Narrow"/>
        <family val="2"/>
      </rPr>
      <t>nicos</t>
    </r>
  </si>
  <si>
    <t>BI expirado</t>
  </si>
  <si>
    <t>Falta NUIT</t>
  </si>
  <si>
    <t>Alima Habiha Mahula</t>
  </si>
  <si>
    <t>Jaime Alifo</t>
  </si>
  <si>
    <t>Mussa Omar Faque</t>
  </si>
  <si>
    <t>Naholoco</t>
  </si>
  <si>
    <t>Não</t>
  </si>
  <si>
    <t xml:space="preserve">Falta NUIT e declaração do bairro dos membros </t>
  </si>
  <si>
    <r>
      <t>Zito Mussa Jos</t>
    </r>
    <r>
      <rPr>
        <sz val="11"/>
        <color theme="1"/>
        <rFont val="Calibri"/>
        <family val="2"/>
      </rPr>
      <t>é</t>
    </r>
  </si>
  <si>
    <t>Ano de Nascimento</t>
  </si>
  <si>
    <t>Omar Braimo Amisse Faque</t>
  </si>
  <si>
    <t>Barbearia</t>
  </si>
  <si>
    <t>Ibraimo Celestino Rodrigues</t>
  </si>
  <si>
    <t>Transporte escolar</t>
  </si>
  <si>
    <t xml:space="preserve">Falta NUIT, BI e declaração do bairro dos membros </t>
  </si>
  <si>
    <t>Venda de peixe e produtos alimentares</t>
  </si>
  <si>
    <t xml:space="preserve">Janete Manuel </t>
  </si>
  <si>
    <r>
      <t>Venda de acess</t>
    </r>
    <r>
      <rPr>
        <sz val="11"/>
        <color theme="1"/>
        <rFont val="Calibri"/>
        <family val="2"/>
      </rPr>
      <t>órios</t>
    </r>
    <r>
      <rPr>
        <sz val="11"/>
        <color theme="1"/>
        <rFont val="Arial Narrow"/>
        <family val="2"/>
      </rPr>
      <t xml:space="preserve"> de motorizadas e viaturas</t>
    </r>
  </si>
  <si>
    <t>Saide Ali Muala</t>
  </si>
  <si>
    <r>
      <t>Venda de telem</t>
    </r>
    <r>
      <rPr>
        <sz val="11"/>
        <color theme="1"/>
        <rFont val="Calibri"/>
        <family val="2"/>
      </rPr>
      <t>ó</t>
    </r>
    <r>
      <rPr>
        <sz val="11"/>
        <color theme="1"/>
        <rFont val="Arial Narrow"/>
        <family val="2"/>
      </rPr>
      <t>veis e Agente da carteira m</t>
    </r>
    <r>
      <rPr>
        <sz val="11"/>
        <color theme="1"/>
        <rFont val="Calibri"/>
        <family val="2"/>
      </rPr>
      <t>ó</t>
    </r>
    <r>
      <rPr>
        <sz val="11"/>
        <color theme="1"/>
        <rFont val="Arial Narrow"/>
        <family val="2"/>
      </rPr>
      <t>vel</t>
    </r>
  </si>
  <si>
    <t>Mandra Alberto</t>
  </si>
  <si>
    <r>
      <t>Venda de Motorizadas e electrodom</t>
    </r>
    <r>
      <rPr>
        <sz val="11"/>
        <color theme="1"/>
        <rFont val="Calibri"/>
        <family val="2"/>
      </rPr>
      <t>é</t>
    </r>
    <r>
      <rPr>
        <sz val="11"/>
        <color theme="1"/>
        <rFont val="Arial Narrow"/>
        <family val="2"/>
      </rPr>
      <t>sticos diversos</t>
    </r>
  </si>
  <si>
    <t>Selemane Alexandre Sataca</t>
  </si>
  <si>
    <t>Venda de material de construção</t>
  </si>
  <si>
    <t>Zeca Ernesto Saela</t>
  </si>
  <si>
    <t xml:space="preserve">Falta declaração do bairro dos membros </t>
  </si>
  <si>
    <r>
      <t>S</t>
    </r>
    <r>
      <rPr>
        <sz val="11"/>
        <color theme="1"/>
        <rFont val="Calibri"/>
        <family val="2"/>
      </rPr>
      <t>á</t>
    </r>
    <r>
      <rPr>
        <sz val="11"/>
        <color theme="1"/>
        <rFont val="Arial Narrow"/>
        <family val="2"/>
      </rPr>
      <t>bado Ant</t>
    </r>
    <r>
      <rPr>
        <sz val="11"/>
        <color theme="1"/>
        <rFont val="Calibri"/>
        <family val="2"/>
      </rPr>
      <t>ó</t>
    </r>
    <r>
      <rPr>
        <sz val="11"/>
        <color theme="1"/>
        <rFont val="Arial Narrow"/>
        <family val="2"/>
      </rPr>
      <t>nio</t>
    </r>
  </si>
  <si>
    <t>Agricultura</t>
  </si>
  <si>
    <t>Agro-negócio</t>
  </si>
  <si>
    <t>Abudo Amurim Abudo</t>
  </si>
  <si>
    <t>Mpuitini</t>
  </si>
  <si>
    <t>Venda de redes de pesca</t>
  </si>
  <si>
    <t>Nilton Armando Chirane</t>
  </si>
  <si>
    <r>
      <t>Venda de cal</t>
    </r>
    <r>
      <rPr>
        <sz val="11"/>
        <color theme="1"/>
        <rFont val="Calibri"/>
        <family val="2"/>
      </rPr>
      <t>ç</t>
    </r>
    <r>
      <rPr>
        <sz val="11"/>
        <color theme="1"/>
        <rFont val="Arial Narrow"/>
        <family val="2"/>
      </rPr>
      <t>ados</t>
    </r>
  </si>
  <si>
    <r>
      <t>Farm</t>
    </r>
    <r>
      <rPr>
        <sz val="11"/>
        <color theme="1"/>
        <rFont val="Calibri"/>
        <family val="2"/>
      </rPr>
      <t>á</t>
    </r>
    <r>
      <rPr>
        <sz val="11"/>
        <color theme="1"/>
        <rFont val="Arial Narrow"/>
        <family val="2"/>
      </rPr>
      <t>cia</t>
    </r>
  </si>
  <si>
    <r>
      <t>Falta declaração do bairro dos membros e formul</t>
    </r>
    <r>
      <rPr>
        <sz val="11"/>
        <color theme="1"/>
        <rFont val="Calibri"/>
        <family val="2"/>
      </rPr>
      <t>á</t>
    </r>
    <r>
      <rPr>
        <sz val="11"/>
        <color theme="1"/>
        <rFont val="Arial Narrow"/>
        <family val="2"/>
      </rPr>
      <t>rio incompleto</t>
    </r>
  </si>
  <si>
    <t>Assane Ussene Namuine</t>
  </si>
  <si>
    <t>Agente de carteira móvel</t>
  </si>
  <si>
    <t>Formulário incompleto</t>
  </si>
  <si>
    <t>Gildo Muisse Omar</t>
  </si>
  <si>
    <t>Ermelinda Faria Jamal</t>
  </si>
  <si>
    <t>Gênero</t>
  </si>
  <si>
    <t xml:space="preserve">Nelson Afonso Formiga         </t>
  </si>
  <si>
    <t>Olga Jacinto</t>
  </si>
  <si>
    <r>
      <t>Salão de beleza e outros servi</t>
    </r>
    <r>
      <rPr>
        <sz val="11"/>
        <color theme="1"/>
        <rFont val="Calibri"/>
        <family val="2"/>
      </rPr>
      <t>ç</t>
    </r>
    <r>
      <rPr>
        <sz val="11"/>
        <color theme="1"/>
        <rFont val="Arial Narrow"/>
        <family val="2"/>
      </rPr>
      <t>os</t>
    </r>
  </si>
  <si>
    <t>Albino João Abudo</t>
  </si>
  <si>
    <t>António Lito</t>
  </si>
  <si>
    <t>Bernardo Ali Assane</t>
  </si>
  <si>
    <r>
      <t>Pedro Ernando Gon</t>
    </r>
    <r>
      <rPr>
        <sz val="11"/>
        <color theme="1"/>
        <rFont val="Calibri"/>
        <family val="2"/>
      </rPr>
      <t>ç</t>
    </r>
    <r>
      <rPr>
        <sz val="11"/>
        <color theme="1"/>
        <rFont val="Arial Narrow"/>
        <family val="2"/>
      </rPr>
      <t>alves</t>
    </r>
  </si>
  <si>
    <r>
      <t>Venda de motorizadas e acess</t>
    </r>
    <r>
      <rPr>
        <sz val="11"/>
        <color theme="1"/>
        <rFont val="Calibri"/>
        <family val="2"/>
      </rPr>
      <t>ó</t>
    </r>
    <r>
      <rPr>
        <sz val="11"/>
        <color theme="1"/>
        <rFont val="Arial Narrow"/>
        <family val="2"/>
      </rPr>
      <t>rios</t>
    </r>
  </si>
  <si>
    <t xml:space="preserve">Falta NUIT e declaração do bairro de um dos membros </t>
  </si>
  <si>
    <t>Rosita Rodrigues Momade</t>
  </si>
  <si>
    <r>
      <t>Ali L</t>
    </r>
    <r>
      <rPr>
        <sz val="11"/>
        <color theme="1"/>
        <rFont val="Calibri"/>
        <family val="2"/>
      </rPr>
      <t>á</t>
    </r>
    <r>
      <rPr>
        <sz val="11"/>
        <color theme="1"/>
        <rFont val="Arial Narrow"/>
        <family val="2"/>
      </rPr>
      <t>zaro</t>
    </r>
  </si>
  <si>
    <r>
      <t>Ibraimo Ossufo Ros</t>
    </r>
    <r>
      <rPr>
        <sz val="11"/>
        <color theme="1"/>
        <rFont val="Calibri"/>
        <family val="2"/>
      </rPr>
      <t>á</t>
    </r>
    <r>
      <rPr>
        <sz val="11"/>
        <color theme="1"/>
        <rFont val="Arial Narrow"/>
        <family val="2"/>
      </rPr>
      <t>rio</t>
    </r>
  </si>
  <si>
    <t>Falta declaração do bairro e assinatura</t>
  </si>
  <si>
    <t>Jorge João Murria</t>
  </si>
  <si>
    <t>Venda de ovos</t>
  </si>
  <si>
    <t>Assane Pedro Imane</t>
  </si>
  <si>
    <t>Compra de um barco a motor</t>
  </si>
  <si>
    <r>
      <t>Servi</t>
    </r>
    <r>
      <rPr>
        <sz val="11"/>
        <color theme="1"/>
        <rFont val="Calibri"/>
        <family val="2"/>
      </rPr>
      <t>ç</t>
    </r>
    <r>
      <rPr>
        <sz val="11"/>
        <color theme="1"/>
        <rFont val="Arial Narrow"/>
        <family val="2"/>
      </rPr>
      <t>os gr</t>
    </r>
    <r>
      <rPr>
        <sz val="11"/>
        <color theme="1"/>
        <rFont val="Calibri"/>
        <family val="2"/>
      </rPr>
      <t>á</t>
    </r>
    <r>
      <rPr>
        <sz val="11"/>
        <color theme="1"/>
        <rFont val="Arial Narrow"/>
        <family val="2"/>
      </rPr>
      <t>ficos</t>
    </r>
  </si>
  <si>
    <t>Selimane Ali Sarajabo</t>
  </si>
  <si>
    <t>Rui Nuanane</t>
  </si>
  <si>
    <t>Ossufo Zare Salimo</t>
  </si>
  <si>
    <t>Albino Júlio</t>
  </si>
  <si>
    <r>
      <t>Justino Ab</t>
    </r>
    <r>
      <rPr>
        <sz val="11"/>
        <color theme="1"/>
        <rFont val="Calibri"/>
        <family val="2"/>
      </rPr>
      <t>í</t>
    </r>
    <r>
      <rPr>
        <sz val="11"/>
        <color theme="1"/>
        <rFont val="Arial Narrow"/>
        <family val="2"/>
      </rPr>
      <t>lio João</t>
    </r>
  </si>
  <si>
    <t>Taxi mota</t>
  </si>
  <si>
    <t>Cândido Júlio Amaral</t>
  </si>
  <si>
    <t>Amir Ramadane Constantino</t>
  </si>
  <si>
    <t>Albertino Caido Francisco</t>
  </si>
  <si>
    <r>
      <t>Constru</t>
    </r>
    <r>
      <rPr>
        <sz val="11"/>
        <color theme="1"/>
        <rFont val="Calibri"/>
        <family val="2"/>
      </rPr>
      <t>ç</t>
    </r>
    <r>
      <rPr>
        <sz val="11"/>
        <color theme="1"/>
        <rFont val="Arial Narrow"/>
        <family val="2"/>
      </rPr>
      <t>ão de um complexo imobiliário</t>
    </r>
  </si>
  <si>
    <t>Falta NUIT e declaração do bairro</t>
  </si>
  <si>
    <t>Faruque Amisse Afonso</t>
  </si>
  <si>
    <t>Oficina de motorizadas</t>
  </si>
  <si>
    <t>Mirava Cassimo Nihonvuana</t>
  </si>
  <si>
    <t>Compra de um transporte semi-colectivo</t>
  </si>
  <si>
    <t>Ussene Ali</t>
  </si>
  <si>
    <r>
      <t>Venda de consum</t>
    </r>
    <r>
      <rPr>
        <sz val="11"/>
        <color theme="1"/>
        <rFont val="Calibri"/>
        <family val="2"/>
      </rPr>
      <t>í</t>
    </r>
    <r>
      <rPr>
        <sz val="11"/>
        <color theme="1"/>
        <rFont val="Arial Narrow"/>
        <family val="2"/>
      </rPr>
      <t>veis informático</t>
    </r>
  </si>
  <si>
    <t>Falta declaração do bairro</t>
  </si>
  <si>
    <t>Paulino António</t>
  </si>
  <si>
    <t>Falta NUIT, BI e declaração do bairro</t>
  </si>
  <si>
    <r>
      <t>Fátima Henrigues Lu</t>
    </r>
    <r>
      <rPr>
        <sz val="11"/>
        <color theme="1"/>
        <rFont val="Calibri"/>
        <family val="2"/>
      </rPr>
      <t>ís</t>
    </r>
  </si>
  <si>
    <t>Salão de beleza e outros serviços</t>
  </si>
  <si>
    <t>Delfim Bonifácio Aiuba</t>
  </si>
  <si>
    <t>Montagem de furos de água</t>
  </si>
  <si>
    <t>Abdul Hafido Carlos</t>
  </si>
  <si>
    <r>
      <t>Amplia</t>
    </r>
    <r>
      <rPr>
        <sz val="11"/>
        <color theme="1"/>
        <rFont val="Calibri"/>
        <family val="2"/>
      </rPr>
      <t>ç</t>
    </r>
    <r>
      <rPr>
        <sz val="11"/>
        <color theme="1"/>
        <rFont val="Arial Narrow"/>
        <family val="2"/>
      </rPr>
      <t>ão do Car Wash</t>
    </r>
  </si>
  <si>
    <t>Zito Manuel Comissário</t>
  </si>
  <si>
    <t>Montar aviário</t>
  </si>
  <si>
    <t>Dauda Amandio</t>
  </si>
  <si>
    <t>Zecas António Saide da Costa</t>
  </si>
  <si>
    <t>Ferragem</t>
  </si>
  <si>
    <t>Muhinde Omar</t>
  </si>
  <si>
    <t>Matina Paixão Ângelo</t>
  </si>
  <si>
    <r>
      <t>Venda de produtos agr</t>
    </r>
    <r>
      <rPr>
        <sz val="11"/>
        <color theme="1"/>
        <rFont val="Calibri"/>
        <family val="2"/>
      </rPr>
      <t>í</t>
    </r>
    <r>
      <rPr>
        <sz val="11"/>
        <color theme="1"/>
        <rFont val="Arial Narrow"/>
        <family val="2"/>
      </rPr>
      <t>colas</t>
    </r>
  </si>
  <si>
    <t>Geldino Adelino Juma</t>
  </si>
  <si>
    <t>Venda de motorizadas</t>
  </si>
  <si>
    <r>
      <t>Faustino Jos</t>
    </r>
    <r>
      <rPr>
        <sz val="11"/>
        <color theme="1"/>
        <rFont val="Calibri"/>
        <family val="2"/>
      </rPr>
      <t>é</t>
    </r>
    <r>
      <rPr>
        <sz val="11"/>
        <color theme="1"/>
        <rFont val="Arial Narrow"/>
        <family val="2"/>
      </rPr>
      <t xml:space="preserve"> Mustamo</t>
    </r>
  </si>
  <si>
    <t>Ussene Cassimo</t>
  </si>
  <si>
    <t>Amisse Juma Acácio</t>
  </si>
  <si>
    <t>Luckmore Mandiyanike</t>
  </si>
  <si>
    <t>Ussene de Castro</t>
  </si>
  <si>
    <t>Sabina Bramugi</t>
  </si>
  <si>
    <r>
      <t>Abrir um restaurante para venda de refei</t>
    </r>
    <r>
      <rPr>
        <sz val="11"/>
        <color theme="1"/>
        <rFont val="Calibri"/>
        <family val="2"/>
      </rPr>
      <t>ç</t>
    </r>
    <r>
      <rPr>
        <sz val="11"/>
        <color theme="1"/>
        <rFont val="Arial Narrow"/>
        <family val="2"/>
      </rPr>
      <t>ões</t>
    </r>
  </si>
  <si>
    <t>Argino Elias Caetano</t>
  </si>
  <si>
    <t>Noé Vasco João Mutandane</t>
  </si>
  <si>
    <t>Venda de cosméticos</t>
  </si>
  <si>
    <t>Juma Alfredo Comane</t>
  </si>
  <si>
    <r>
      <t>Venda de utens</t>
    </r>
    <r>
      <rPr>
        <sz val="11"/>
        <color theme="1"/>
        <rFont val="Calibri"/>
        <family val="2"/>
      </rPr>
      <t>í</t>
    </r>
    <r>
      <rPr>
        <sz val="11"/>
        <color theme="1"/>
        <rFont val="Arial Narrow"/>
        <family val="2"/>
      </rPr>
      <t>lios domésticos</t>
    </r>
  </si>
  <si>
    <t xml:space="preserve">Venda de acessórios de motorizadas </t>
  </si>
  <si>
    <t>Alimo Mucuba Dauda</t>
  </si>
  <si>
    <t>Zia Alves Assane</t>
  </si>
  <si>
    <t>Thopuitho</t>
  </si>
  <si>
    <r>
      <t>Produ</t>
    </r>
    <r>
      <rPr>
        <sz val="11"/>
        <color theme="1"/>
        <rFont val="Calibri"/>
        <family val="2"/>
      </rPr>
      <t>ç</t>
    </r>
    <r>
      <rPr>
        <sz val="11"/>
        <color theme="1"/>
        <rFont val="Arial Narrow"/>
        <family val="2"/>
      </rPr>
      <t>ão e venda de carvão vegetal</t>
    </r>
  </si>
  <si>
    <t>Ahamada Amisse Daniel Nela</t>
  </si>
  <si>
    <t>Mualaquina Abudo Mualaquina</t>
  </si>
  <si>
    <t>Paturo Amade Ussene</t>
  </si>
  <si>
    <t>Serviços gráficos</t>
  </si>
  <si>
    <t>Ussene Jamal</t>
  </si>
  <si>
    <t>Venda de bicicletas</t>
  </si>
  <si>
    <t>Carlos Paulo Simango</t>
  </si>
  <si>
    <r>
      <t>Produ</t>
    </r>
    <r>
      <rPr>
        <sz val="11"/>
        <color theme="1"/>
        <rFont val="Calibri"/>
        <family val="2"/>
      </rPr>
      <t>ç</t>
    </r>
    <r>
      <rPr>
        <sz val="11"/>
        <color theme="1"/>
        <rFont val="Arial Narrow"/>
        <family val="2"/>
      </rPr>
      <t>ão e venda de ovos</t>
    </r>
  </si>
  <si>
    <t>Muanacha Cassimo Mopiha</t>
  </si>
  <si>
    <t>Venda de capulanas</t>
  </si>
  <si>
    <t>Zacarias Ibraimo Ossene</t>
  </si>
  <si>
    <t>Compra de carros para aluguer</t>
  </si>
  <si>
    <t>Rever a declaração do bairro</t>
  </si>
  <si>
    <t>Abú Momade Silimo</t>
  </si>
  <si>
    <t>Venda de roupa e artigos para bebés</t>
  </si>
  <si>
    <r>
      <t>Em</t>
    </r>
    <r>
      <rPr>
        <sz val="11"/>
        <color theme="1"/>
        <rFont val="Calibri"/>
        <family val="2"/>
      </rPr>
      <t>í</t>
    </r>
    <r>
      <rPr>
        <sz val="11"/>
        <color theme="1"/>
        <rFont val="Arial Narrow"/>
        <family val="2"/>
      </rPr>
      <t>lio Momade Mussa</t>
    </r>
  </si>
  <si>
    <t>Augusto Fonseca</t>
  </si>
  <si>
    <t>Pesca artesanal e venda de peixe</t>
  </si>
  <si>
    <t>Rever a declaração do bairro, sem carimbo</t>
  </si>
  <si>
    <t>Taratibo Momade Chale</t>
  </si>
  <si>
    <t>Thipane</t>
  </si>
  <si>
    <t>Falta declaração do bairro dos membros, finalidade e carimbo</t>
  </si>
  <si>
    <t>Ussene Ibraimo</t>
  </si>
  <si>
    <t>Venda de roupa nova</t>
  </si>
  <si>
    <t>Ahamada Fernando Ripa</t>
  </si>
  <si>
    <t>Venda de artigos diversos</t>
  </si>
  <si>
    <t>Jacob Nafital Novela</t>
  </si>
  <si>
    <t>Ampliação da padaria</t>
  </si>
  <si>
    <t>Momade Aliasse Mussine</t>
  </si>
  <si>
    <t>Celeimane Chico</t>
  </si>
  <si>
    <t>Venda de vestuário</t>
  </si>
  <si>
    <t>Momade Ussene Raisse</t>
  </si>
  <si>
    <t>João Romoliua Abacar</t>
  </si>
  <si>
    <t>Moageira e uma viatura</t>
  </si>
  <si>
    <t>Falta NUIT, BI e declaração do bairro de um dos membros</t>
  </si>
  <si>
    <t>Ebraimo Ali Gorge</t>
  </si>
  <si>
    <t>Venda de acessórios de motorizada</t>
  </si>
  <si>
    <t>Amisse Agostinho Saide</t>
  </si>
  <si>
    <t xml:space="preserve">Falta NUIT, BI e declaração do bairro </t>
  </si>
  <si>
    <t>Marcelino António Lázaro</t>
  </si>
  <si>
    <t>Car Wash</t>
  </si>
  <si>
    <r>
      <t>Elsa da Concei</t>
    </r>
    <r>
      <rPr>
        <sz val="11"/>
        <color theme="1"/>
        <rFont val="Calibri"/>
        <family val="2"/>
      </rPr>
      <t>ç</t>
    </r>
    <r>
      <rPr>
        <sz val="11"/>
        <color theme="1"/>
        <rFont val="Arial Narrow"/>
        <family val="2"/>
      </rPr>
      <t>ão Bernardo</t>
    </r>
  </si>
  <si>
    <t>Colégio infantil</t>
  </si>
  <si>
    <t>Macário António Vilia</t>
  </si>
  <si>
    <t>Amina João Amurane</t>
  </si>
  <si>
    <t>Abu Amaral Paulo</t>
  </si>
  <si>
    <t>Ali Dinga Momade</t>
  </si>
  <si>
    <t>Falta NUIT, BI e declaração do bairro e preencher o formulário devidamente</t>
  </si>
  <si>
    <t>Jone Ossufo Ossufo</t>
  </si>
  <si>
    <t>Ângelo Alberto</t>
  </si>
  <si>
    <t>Ussene Saide Viage</t>
  </si>
  <si>
    <t>António Mateus Cailane</t>
  </si>
  <si>
    <t>Venda de produtos agrícolas</t>
  </si>
  <si>
    <t>Rever a declaração do bairro, finalidade do empréstimo</t>
  </si>
  <si>
    <t>Momade Adelino Gomes</t>
  </si>
  <si>
    <t>Albertino Bernardo Vacareia</t>
  </si>
  <si>
    <r>
      <t>Venda de sementes agr</t>
    </r>
    <r>
      <rPr>
        <sz val="11"/>
        <color theme="1"/>
        <rFont val="Calibri"/>
        <family val="2"/>
      </rPr>
      <t>í</t>
    </r>
    <r>
      <rPr>
        <sz val="11"/>
        <color theme="1"/>
        <rFont val="Arial Narrow"/>
        <family val="2"/>
      </rPr>
      <t>colas</t>
    </r>
  </si>
  <si>
    <t>Lanchonete escolar</t>
  </si>
  <si>
    <t>Issa Silvano Mujara</t>
  </si>
  <si>
    <t>Idade</t>
  </si>
  <si>
    <t>Diamantino Alberto</t>
  </si>
  <si>
    <t>Digelmino Pedro Momade</t>
  </si>
  <si>
    <t>Venda de bebidas</t>
  </si>
  <si>
    <t>Marcelino Horácio José da Silva</t>
  </si>
  <si>
    <t>Essumaila Daniel Momade</t>
  </si>
  <si>
    <t>Venda de roupa usada</t>
  </si>
  <si>
    <t>Abubacar Jamal Mussa</t>
  </si>
  <si>
    <t>Rodriguês Ussene</t>
  </si>
  <si>
    <r>
      <t>Fabrico de gelo e conserva</t>
    </r>
    <r>
      <rPr>
        <sz val="11"/>
        <color theme="1"/>
        <rFont val="Calibri"/>
        <family val="2"/>
      </rPr>
      <t>ç</t>
    </r>
    <r>
      <rPr>
        <sz val="11"/>
        <color theme="1"/>
        <rFont val="Arial Narrow"/>
        <family val="2"/>
      </rPr>
      <t>ão de peixe</t>
    </r>
  </si>
  <si>
    <r>
      <t>Falta NUIT, BI e declaração do bairro dos membros e declara</t>
    </r>
    <r>
      <rPr>
        <sz val="11"/>
        <color theme="1"/>
        <rFont val="Calibri"/>
        <family val="2"/>
      </rPr>
      <t>ç</t>
    </r>
    <r>
      <rPr>
        <sz val="11"/>
        <color theme="1"/>
        <rFont val="Arial Narrow"/>
        <family val="2"/>
      </rPr>
      <t>ão do bairro não está carimbada</t>
    </r>
  </si>
  <si>
    <t>Ussene Domingos</t>
  </si>
  <si>
    <t>Venda de utensílios plásticos</t>
  </si>
  <si>
    <t>Falta NUIT e BI</t>
  </si>
  <si>
    <t>José Seliverio Nacema</t>
  </si>
  <si>
    <t>Venda de Peixe</t>
  </si>
  <si>
    <t>Saide Ali Fargi</t>
  </si>
  <si>
    <t>Mercearia</t>
  </si>
  <si>
    <t>Ali Cassimo</t>
  </si>
  <si>
    <r>
      <t>Venda de acessórios e manunten</t>
    </r>
    <r>
      <rPr>
        <sz val="11"/>
        <color theme="1"/>
        <rFont val="Calibri"/>
        <family val="2"/>
      </rPr>
      <t>ç</t>
    </r>
    <r>
      <rPr>
        <sz val="11"/>
        <color theme="1"/>
        <rFont val="Arial Narrow"/>
        <family val="2"/>
      </rPr>
      <t>ão de equipamentos eletrónicos</t>
    </r>
  </si>
  <si>
    <t>Adelino Albino Ali</t>
  </si>
  <si>
    <t>Chaur Artur</t>
  </si>
  <si>
    <t>Adelino Francisco de Oliveira</t>
  </si>
  <si>
    <t>Selemane Armando Omar</t>
  </si>
  <si>
    <t>Ali Ali Assane</t>
  </si>
  <si>
    <r>
      <t>Venda de electrodom</t>
    </r>
    <r>
      <rPr>
        <sz val="11"/>
        <color theme="1"/>
        <rFont val="Calibri"/>
        <family val="2"/>
      </rPr>
      <t>é</t>
    </r>
    <r>
      <rPr>
        <sz val="11"/>
        <color theme="1"/>
        <rFont val="Arial Narrow"/>
        <family val="2"/>
      </rPr>
      <t>stico</t>
    </r>
  </si>
  <si>
    <r>
      <t>Formul</t>
    </r>
    <r>
      <rPr>
        <sz val="11"/>
        <color theme="1"/>
        <rFont val="Calibri"/>
        <family val="2"/>
      </rPr>
      <t>á</t>
    </r>
    <r>
      <rPr>
        <sz val="11"/>
        <color theme="1"/>
        <rFont val="Arial Narrow"/>
        <family val="2"/>
      </rPr>
      <t>rio não preenchido devidamente, falta de carimbo na declara</t>
    </r>
    <r>
      <rPr>
        <sz val="11"/>
        <color theme="1"/>
        <rFont val="Calibri"/>
        <family val="2"/>
      </rPr>
      <t>ç</t>
    </r>
    <r>
      <rPr>
        <sz val="11"/>
        <color theme="1"/>
        <rFont val="Arial Narrow"/>
        <family val="2"/>
      </rPr>
      <t>ão</t>
    </r>
  </si>
  <si>
    <t>Fatima Amade Aliasse</t>
  </si>
  <si>
    <t>Miqui Arcanjo Victorino</t>
  </si>
  <si>
    <t>Ussene Mamade Machaia</t>
  </si>
  <si>
    <t>Isoa</t>
  </si>
  <si>
    <t>Falta NUIT, BI e declaração do bairro dos membros</t>
  </si>
  <si>
    <t>Camilo Rubino Sousa</t>
  </si>
  <si>
    <t>Mulimuni</t>
  </si>
  <si>
    <t>Avicultura</t>
  </si>
  <si>
    <r>
      <t>S</t>
    </r>
    <r>
      <rPr>
        <sz val="11"/>
        <color theme="1"/>
        <rFont val="Calibri"/>
        <family val="2"/>
      </rPr>
      <t>é</t>
    </r>
    <r>
      <rPr>
        <sz val="11"/>
        <color theme="1"/>
        <rFont val="Arial Narrow"/>
        <family val="2"/>
      </rPr>
      <t>rgio Zacarias Cossa</t>
    </r>
  </si>
  <si>
    <t>Transporte semi-colectivo</t>
  </si>
  <si>
    <r>
      <t>Yolanda Eus</t>
    </r>
    <r>
      <rPr>
        <sz val="11"/>
        <color theme="1"/>
        <rFont val="Calibri"/>
        <family val="2"/>
      </rPr>
      <t>é</t>
    </r>
    <r>
      <rPr>
        <sz val="11"/>
        <color theme="1"/>
        <rFont val="Arial Narrow"/>
        <family val="2"/>
      </rPr>
      <t>bio M</t>
    </r>
    <r>
      <rPr>
        <sz val="11"/>
        <color theme="1"/>
        <rFont val="Calibri"/>
        <family val="2"/>
      </rPr>
      <t>á</t>
    </r>
    <r>
      <rPr>
        <sz val="11"/>
        <color theme="1"/>
        <rFont val="Arial Narrow"/>
        <family val="2"/>
      </rPr>
      <t>rio Jamal</t>
    </r>
  </si>
  <si>
    <t>Rajabo Atumane</t>
  </si>
  <si>
    <t>Triagem 1 (documentos)</t>
  </si>
  <si>
    <t>Oscar Omar Fernando</t>
  </si>
  <si>
    <r>
      <t>Escola T</t>
    </r>
    <r>
      <rPr>
        <sz val="11"/>
        <color theme="1"/>
        <rFont val="Calibri"/>
        <family val="2"/>
      </rPr>
      <t>é</t>
    </r>
    <r>
      <rPr>
        <sz val="11"/>
        <color theme="1"/>
        <rFont val="Arial Narrow"/>
        <family val="2"/>
      </rPr>
      <t>cnica de forma</t>
    </r>
    <r>
      <rPr>
        <sz val="11"/>
        <color theme="1"/>
        <rFont val="Calibri"/>
        <family val="2"/>
      </rPr>
      <t>çã</t>
    </r>
    <r>
      <rPr>
        <sz val="11"/>
        <color theme="1"/>
        <rFont val="Arial Narrow"/>
        <family val="2"/>
      </rPr>
      <t>o</t>
    </r>
  </si>
  <si>
    <t>Carlos Agostinho Momade</t>
  </si>
  <si>
    <t>Jonito Arlindo Tauanheque</t>
  </si>
  <si>
    <t>Mugi Braimo Bramugi</t>
  </si>
  <si>
    <t>Carteira móvel</t>
  </si>
  <si>
    <t>Albino Victorino Amanze</t>
  </si>
  <si>
    <t>Comércio geral</t>
  </si>
  <si>
    <t>Juma Ibraimo</t>
  </si>
  <si>
    <r>
      <t>Declara</t>
    </r>
    <r>
      <rPr>
        <sz val="11"/>
        <color theme="1"/>
        <rFont val="Calibri"/>
        <family val="2"/>
      </rPr>
      <t>ç</t>
    </r>
    <r>
      <rPr>
        <sz val="11"/>
        <color theme="1"/>
        <rFont val="Arial Narrow"/>
        <family val="2"/>
      </rPr>
      <t>ão do bairro sem carimbo</t>
    </r>
  </si>
  <si>
    <r>
      <t>Declara</t>
    </r>
    <r>
      <rPr>
        <sz val="11"/>
        <color theme="1"/>
        <rFont val="Calibri"/>
        <family val="2"/>
      </rPr>
      <t>ç</t>
    </r>
    <r>
      <rPr>
        <sz val="11"/>
        <color theme="1"/>
        <rFont val="Arial Narrow"/>
        <family val="2"/>
      </rPr>
      <t>ão do bairro sem carimbo e formul</t>
    </r>
    <r>
      <rPr>
        <sz val="11"/>
        <color theme="1"/>
        <rFont val="Calibri"/>
        <family val="2"/>
      </rPr>
      <t>á</t>
    </r>
    <r>
      <rPr>
        <sz val="11"/>
        <color theme="1"/>
        <rFont val="Arial Narrow"/>
        <family val="2"/>
      </rPr>
      <t>rio n</t>
    </r>
    <r>
      <rPr>
        <sz val="11"/>
        <color theme="1"/>
        <rFont val="Calibri"/>
        <family val="2"/>
      </rPr>
      <t>ã</t>
    </r>
    <r>
      <rPr>
        <sz val="11"/>
        <color theme="1"/>
        <rFont val="Arial Narrow"/>
        <family val="2"/>
      </rPr>
      <t>o esta bem preenchido</t>
    </r>
  </si>
  <si>
    <t>Buapuae Ali</t>
  </si>
  <si>
    <t>Falta NUIT, BI e declaração do bairro dos outros membros</t>
  </si>
  <si>
    <t>Abibo Yunussa Mário</t>
  </si>
  <si>
    <t>Monis Roberto</t>
  </si>
  <si>
    <t>Lanchonete no centro de saúde</t>
  </si>
  <si>
    <t>Falta NUIT e declaração do bairro dos outros membros</t>
  </si>
  <si>
    <t>Ali Adamo</t>
  </si>
  <si>
    <t>Ali Raul Raja</t>
  </si>
  <si>
    <t>Bernardo Jamal Namuine</t>
  </si>
  <si>
    <t>Amisse João</t>
  </si>
  <si>
    <t>Fabrico de blocos</t>
  </si>
  <si>
    <t>Domingos Manuel Abdala</t>
  </si>
  <si>
    <t>Ussene Charamadane Domingos</t>
  </si>
  <si>
    <r>
      <t>Tem espera bilhete e a declara</t>
    </r>
    <r>
      <rPr>
        <sz val="11"/>
        <color theme="1"/>
        <rFont val="Calibri"/>
        <family val="2"/>
      </rPr>
      <t>ç</t>
    </r>
    <r>
      <rPr>
        <sz val="11"/>
        <color theme="1"/>
        <rFont val="Arial Narrow"/>
        <family val="2"/>
      </rPr>
      <t>ão do bairro sem carimbo. Falta NUIT e declaração do bairro de um dos membros.</t>
    </r>
  </si>
  <si>
    <t>Celestino Atinane Selemane</t>
  </si>
  <si>
    <t>Venda de mudas nativas</t>
  </si>
  <si>
    <t>Marzuque Buana Braimo</t>
  </si>
  <si>
    <t>Mamudo Selemane Anela</t>
  </si>
  <si>
    <t>Declaração do bairro sem carimbo</t>
  </si>
  <si>
    <t>Nuro Sorte Amade</t>
  </si>
  <si>
    <t xml:space="preserve">Venda de telemóveis </t>
  </si>
  <si>
    <t>Sara Seleimane Manuel Moneque</t>
  </si>
  <si>
    <t>Argentina João Daniel</t>
  </si>
  <si>
    <t>Faltam NUIT e declaração do bairro dos outros membros</t>
  </si>
  <si>
    <t>João David Chinguvo</t>
  </si>
  <si>
    <t>Hospedagem</t>
  </si>
  <si>
    <t>Arlindo Januário Nhantumbo</t>
  </si>
  <si>
    <t>Rubber lining</t>
  </si>
  <si>
    <t>Albertino Alberto Abdala</t>
  </si>
  <si>
    <t>Farmácia 24h</t>
  </si>
  <si>
    <t>Falta declaração do bairro dos outros membros</t>
  </si>
  <si>
    <t>Espera bilhete</t>
  </si>
  <si>
    <t>Nito Joaquim</t>
  </si>
  <si>
    <r>
      <t>Cria</t>
    </r>
    <r>
      <rPr>
        <sz val="11"/>
        <color theme="1"/>
        <rFont val="Calibri"/>
        <family val="2"/>
      </rPr>
      <t>çã</t>
    </r>
    <r>
      <rPr>
        <sz val="11"/>
        <color theme="1"/>
        <rFont val="Arial Narrow"/>
        <family val="2"/>
      </rPr>
      <t>o e venda de frangos de corte</t>
    </r>
  </si>
  <si>
    <t>Agro-pecuária</t>
  </si>
  <si>
    <t>Alfredo Salimo</t>
  </si>
  <si>
    <r>
      <t>Produ</t>
    </r>
    <r>
      <rPr>
        <sz val="11"/>
        <color theme="1"/>
        <rFont val="Calibri"/>
        <family val="2"/>
      </rPr>
      <t>ç</t>
    </r>
    <r>
      <rPr>
        <sz val="11"/>
        <color theme="1"/>
        <rFont val="Arial Narrow"/>
        <family val="2"/>
      </rPr>
      <t>ão e venda de mel</t>
    </r>
  </si>
  <si>
    <t>Iacumba Saide</t>
  </si>
  <si>
    <t>Larson Ricardo Atumane</t>
  </si>
  <si>
    <t>Bar</t>
  </si>
  <si>
    <t>Carlitos João Celestino</t>
  </si>
  <si>
    <t>Costa Carlos Pinto</t>
  </si>
  <si>
    <t>Venda de roupa infantil de segunda mão</t>
  </si>
  <si>
    <t>Nistahane Ali Alufa</t>
  </si>
  <si>
    <t>Declaração do bairro sem carimbo e não tem BI</t>
  </si>
  <si>
    <t>Selemana António</t>
  </si>
  <si>
    <t>Abú Mario dos Santos</t>
  </si>
  <si>
    <t>Seralharia</t>
  </si>
  <si>
    <t>Juter Segunda juma</t>
  </si>
  <si>
    <t>Gildo Hilario Ali</t>
  </si>
  <si>
    <t>Criação e venda de frangos e galinhas poedeiras</t>
  </si>
  <si>
    <t xml:space="preserve">Serafim Fonseca António </t>
  </si>
  <si>
    <t>Ali Braz Nela</t>
  </si>
  <si>
    <t>Rajabo Cajuane</t>
  </si>
  <si>
    <t>Benjamim João Benjamim</t>
  </si>
  <si>
    <t>Ibraimo João Jamal</t>
  </si>
  <si>
    <t>Domingos Momade Nanrye</t>
  </si>
  <si>
    <r>
      <t>Cria</t>
    </r>
    <r>
      <rPr>
        <sz val="11"/>
        <color theme="1"/>
        <rFont val="Calibri"/>
        <family val="2"/>
      </rPr>
      <t>ç</t>
    </r>
    <r>
      <rPr>
        <sz val="11"/>
        <color theme="1"/>
        <rFont val="Arial Narrow"/>
        <family val="2"/>
      </rPr>
      <t>ã</t>
    </r>
    <r>
      <rPr>
        <sz val="11"/>
        <color theme="1"/>
        <rFont val="Calibri"/>
        <family val="2"/>
      </rPr>
      <t>o de gado Bovino</t>
    </r>
  </si>
  <si>
    <t>Carlos Henrique Adelino</t>
  </si>
  <si>
    <t>Mussilim Daniel Mulipana</t>
  </si>
  <si>
    <t>Segunda Amisse  Amade</t>
  </si>
  <si>
    <t>Riquito Cassimo Mopiha</t>
  </si>
  <si>
    <t xml:space="preserve">Falta NUIT, declaração do bairro, BI dos membros </t>
  </si>
  <si>
    <t>Ossufo Braimo Ossufo</t>
  </si>
  <si>
    <t>Cenito Cabral Victor</t>
  </si>
  <si>
    <r>
      <t>Fabrico e venda de mob</t>
    </r>
    <r>
      <rPr>
        <sz val="11"/>
        <color theme="1"/>
        <rFont val="Calibri"/>
        <family val="2"/>
      </rPr>
      <t>í</t>
    </r>
    <r>
      <rPr>
        <sz val="11"/>
        <color theme="1"/>
        <rFont val="Arial Narrow"/>
        <family val="2"/>
      </rPr>
      <t>lia</t>
    </r>
  </si>
  <si>
    <t>Fabrico e venda de mobília</t>
  </si>
  <si>
    <t>Augusto João Baptista</t>
  </si>
  <si>
    <t>Ussene Sualé</t>
  </si>
  <si>
    <t>Jamal Cailane Sualê</t>
  </si>
  <si>
    <t>Venda de peixe e ovos</t>
  </si>
  <si>
    <t>Falta NUIT,BI e declaração do bairro dos membros e minuta</t>
  </si>
  <si>
    <t>Frederico José Afonso</t>
  </si>
  <si>
    <r>
      <t>Servi</t>
    </r>
    <r>
      <rPr>
        <sz val="11"/>
        <color theme="1"/>
        <rFont val="Calibri"/>
        <family val="2"/>
      </rPr>
      <t>ço de Transportes</t>
    </r>
  </si>
  <si>
    <t xml:space="preserve">Restauração, bar e hospedagem </t>
  </si>
  <si>
    <t xml:space="preserve">Ofácio Carlos </t>
  </si>
  <si>
    <t>Ricardina do Nascimento da Costa</t>
  </si>
  <si>
    <t>Genita Carlos Joaquim</t>
  </si>
  <si>
    <t>Celestino Alberto</t>
  </si>
  <si>
    <t>Abdala Chaur Fasco</t>
  </si>
  <si>
    <t>Abacar Tauacali Marjoro</t>
  </si>
  <si>
    <t>Assane Mulunthia</t>
  </si>
  <si>
    <t>Abeazito Ismael Selemane</t>
  </si>
  <si>
    <t>Silvério Salimo Ali</t>
  </si>
  <si>
    <t>Juma Albano Iahaia</t>
  </si>
  <si>
    <t>Chuva Amade Francisco Napaua</t>
  </si>
  <si>
    <t>Ossufo Esmail Afonso</t>
  </si>
  <si>
    <t>Age Ali Age</t>
  </si>
  <si>
    <t>Mito António João</t>
  </si>
  <si>
    <r>
      <t>Servi</t>
    </r>
    <r>
      <rPr>
        <sz val="11"/>
        <color theme="1"/>
        <rFont val="Calibri"/>
        <family val="2"/>
      </rPr>
      <t>ç</t>
    </r>
    <r>
      <rPr>
        <sz val="11"/>
        <color theme="1"/>
        <rFont val="Arial Narrow"/>
        <family val="2"/>
      </rPr>
      <t>os de tecnologia e informa</t>
    </r>
    <r>
      <rPr>
        <sz val="11"/>
        <color theme="1"/>
        <rFont val="Calibri"/>
        <family val="2"/>
      </rPr>
      <t>ç</t>
    </r>
    <r>
      <rPr>
        <sz val="11"/>
        <color theme="1"/>
        <rFont val="Arial Narrow"/>
        <family val="2"/>
      </rPr>
      <t>ão</t>
    </r>
  </si>
  <si>
    <t>Falta completar o formulario e falta NUIT dos membros. Processo devolvido.</t>
  </si>
  <si>
    <r>
      <t>Declara</t>
    </r>
    <r>
      <rPr>
        <sz val="11"/>
        <color theme="1"/>
        <rFont val="Calibri"/>
        <family val="2"/>
      </rPr>
      <t>ç</t>
    </r>
    <r>
      <rPr>
        <sz val="11"/>
        <color theme="1"/>
        <rFont val="Arial Narrow"/>
        <family val="2"/>
      </rPr>
      <t>ão do bairro fora do prazo</t>
    </r>
  </si>
  <si>
    <t>Declaração do bairro sem carimbo e quantia que pretende</t>
  </si>
  <si>
    <r>
      <t>Falta declara</t>
    </r>
    <r>
      <rPr>
        <sz val="11"/>
        <color theme="1"/>
        <rFont val="Calibri"/>
        <family val="2"/>
      </rPr>
      <t>çã</t>
    </r>
    <r>
      <rPr>
        <sz val="11"/>
        <color theme="1"/>
        <rFont val="Arial Narrow"/>
        <family val="2"/>
      </rPr>
      <t>o do bairro de um dos membros</t>
    </r>
  </si>
  <si>
    <t>Falta NUIT, BI, declaração do bairro de um dos membros e minuta</t>
  </si>
  <si>
    <t xml:space="preserve">Faltam documento dos outros membros </t>
  </si>
  <si>
    <t>Faltam documentos dos outros membros</t>
  </si>
  <si>
    <r>
      <t>NUIT não vis</t>
    </r>
    <r>
      <rPr>
        <sz val="11"/>
        <color theme="1"/>
        <rFont val="Calibri"/>
        <family val="2"/>
      </rPr>
      <t>í</t>
    </r>
    <r>
      <rPr>
        <sz val="11"/>
        <color theme="1"/>
        <rFont val="Arial Narrow"/>
        <family val="2"/>
      </rPr>
      <t>vel</t>
    </r>
  </si>
  <si>
    <t>Formulário não preenchido devidamente</t>
  </si>
  <si>
    <r>
      <t>Um dos membros entregou cart</t>
    </r>
    <r>
      <rPr>
        <sz val="11"/>
        <color theme="1"/>
        <rFont val="Calibri"/>
        <family val="2"/>
      </rPr>
      <t>ã</t>
    </r>
    <r>
      <rPr>
        <sz val="11"/>
        <color theme="1"/>
        <rFont val="Arial Narrow"/>
        <family val="2"/>
      </rPr>
      <t>o de eleitor, em vez de BI. Processo devolvido.</t>
    </r>
  </si>
  <si>
    <t>Aprovados</t>
  </si>
  <si>
    <t>Reprovados</t>
  </si>
  <si>
    <t>Total</t>
  </si>
  <si>
    <t>Masculino</t>
  </si>
  <si>
    <t>Femenino</t>
  </si>
  <si>
    <t>BI expirado. Processo devolvido</t>
  </si>
  <si>
    <t>Triagem 1</t>
  </si>
  <si>
    <t>Falta NUIT, minuta e quantia que pretende</t>
  </si>
  <si>
    <t>Falta de documentos, dados incompletos e quantia que pretende</t>
  </si>
  <si>
    <r>
      <t>Vintecinco Louren</t>
    </r>
    <r>
      <rPr>
        <sz val="11"/>
        <color rgb="FFFF0000"/>
        <rFont val="Calibri"/>
        <family val="2"/>
      </rPr>
      <t>ç</t>
    </r>
    <r>
      <rPr>
        <sz val="11"/>
        <color rgb="FFFF0000"/>
        <rFont val="Arial Narrow"/>
        <family val="2"/>
      </rPr>
      <t>o</t>
    </r>
  </si>
  <si>
    <r>
      <t>Iacumba Jos</t>
    </r>
    <r>
      <rPr>
        <sz val="11"/>
        <color rgb="FFFF0000"/>
        <rFont val="Calibri"/>
        <family val="2"/>
      </rPr>
      <t>é</t>
    </r>
    <r>
      <rPr>
        <sz val="11"/>
        <color rgb="FFFF0000"/>
        <rFont val="Arial Narrow"/>
        <family val="2"/>
      </rPr>
      <t xml:space="preserve"> Ali Muluta</t>
    </r>
  </si>
  <si>
    <r>
      <t>Anast</t>
    </r>
    <r>
      <rPr>
        <sz val="11"/>
        <color rgb="FFFF0000"/>
        <rFont val="Calibri"/>
        <family val="2"/>
      </rPr>
      <t>á</t>
    </r>
    <r>
      <rPr>
        <sz val="11"/>
        <color rgb="FFFF0000"/>
        <rFont val="Arial Narrow"/>
        <family val="2"/>
      </rPr>
      <t>cio Vicente Boavida</t>
    </r>
  </si>
  <si>
    <r>
      <t>Domingos Ant</t>
    </r>
    <r>
      <rPr>
        <sz val="11"/>
        <color rgb="FFFF0000"/>
        <rFont val="Calibri"/>
        <family val="2"/>
      </rPr>
      <t>ó</t>
    </r>
    <r>
      <rPr>
        <sz val="11"/>
        <color rgb="FFFF0000"/>
        <rFont val="Arial Narrow"/>
        <family val="2"/>
      </rPr>
      <t>nio Momade</t>
    </r>
  </si>
  <si>
    <r>
      <t>Lu</t>
    </r>
    <r>
      <rPr>
        <sz val="11"/>
        <color rgb="FFFF0000"/>
        <rFont val="Calibri"/>
        <family val="2"/>
      </rPr>
      <t>í</t>
    </r>
    <r>
      <rPr>
        <sz val="11"/>
        <color rgb="FFFF0000"/>
        <rFont val="Arial Narrow"/>
        <family val="2"/>
      </rPr>
      <t>s Ali</t>
    </r>
  </si>
  <si>
    <r>
      <t>Muniro Mário Estev</t>
    </r>
    <r>
      <rPr>
        <sz val="11"/>
        <color rgb="FFFF0000"/>
        <rFont val="Calibri"/>
        <family val="2"/>
      </rPr>
      <t>ão</t>
    </r>
  </si>
  <si>
    <r>
      <t>Maur</t>
    </r>
    <r>
      <rPr>
        <sz val="11"/>
        <color rgb="FFFF0000"/>
        <rFont val="Calibri"/>
        <family val="2"/>
      </rPr>
      <t>í</t>
    </r>
    <r>
      <rPr>
        <sz val="11"/>
        <color rgb="FFFF0000"/>
        <rFont val="Arial Narrow"/>
        <family val="2"/>
      </rPr>
      <t>cio Ant</t>
    </r>
    <r>
      <rPr>
        <sz val="11"/>
        <color rgb="FFFF0000"/>
        <rFont val="Calibri"/>
        <family val="2"/>
      </rPr>
      <t>ó</t>
    </r>
    <r>
      <rPr>
        <sz val="11"/>
        <color rgb="FFFF0000"/>
        <rFont val="Arial Narrow"/>
        <family val="2"/>
      </rPr>
      <t xml:space="preserve">nio </t>
    </r>
  </si>
  <si>
    <r>
      <t>Ana Rosa Jo</t>
    </r>
    <r>
      <rPr>
        <sz val="11"/>
        <color rgb="FFFF0000"/>
        <rFont val="Calibri"/>
        <family val="2"/>
      </rPr>
      <t>ã</t>
    </r>
    <r>
      <rPr>
        <sz val="11"/>
        <color rgb="FFFF0000"/>
        <rFont val="Arial Narrow"/>
        <family val="2"/>
      </rPr>
      <t>o</t>
    </r>
  </si>
  <si>
    <r>
      <t>Ant</t>
    </r>
    <r>
      <rPr>
        <sz val="11"/>
        <color rgb="FFFF0000"/>
        <rFont val="Calibri"/>
        <family val="2"/>
      </rPr>
      <t>ó</t>
    </r>
    <r>
      <rPr>
        <sz val="11"/>
        <color rgb="FFFF0000"/>
        <rFont val="Arial Narrow"/>
        <family val="2"/>
      </rPr>
      <t>nio Miguel António</t>
    </r>
  </si>
  <si>
    <r>
      <t>Ab</t>
    </r>
    <r>
      <rPr>
        <sz val="11"/>
        <color rgb="FFFF0000"/>
        <rFont val="Calibri"/>
        <family val="2"/>
      </rPr>
      <t>í</t>
    </r>
    <r>
      <rPr>
        <sz val="11"/>
        <color rgb="FFFF0000"/>
        <rFont val="Arial Narrow"/>
        <family val="2"/>
      </rPr>
      <t>lio Ab</t>
    </r>
    <r>
      <rPr>
        <sz val="11"/>
        <color rgb="FFFF0000"/>
        <rFont val="Calibri"/>
        <family val="2"/>
      </rPr>
      <t>í</t>
    </r>
    <r>
      <rPr>
        <sz val="11"/>
        <color rgb="FFFF0000"/>
        <rFont val="Arial Narrow"/>
        <family val="2"/>
      </rPr>
      <t>lio</t>
    </r>
  </si>
  <si>
    <r>
      <t>Zacarias Lu</t>
    </r>
    <r>
      <rPr>
        <sz val="11"/>
        <color rgb="FFFF0000"/>
        <rFont val="Calibri"/>
        <family val="2"/>
      </rPr>
      <t>í</t>
    </r>
    <r>
      <rPr>
        <sz val="11"/>
        <color rgb="FFFF0000"/>
        <rFont val="Arial Narrow"/>
        <family val="2"/>
      </rPr>
      <t>s joaquim José</t>
    </r>
  </si>
  <si>
    <r>
      <t>Jacinto Jo</t>
    </r>
    <r>
      <rPr>
        <sz val="11"/>
        <color rgb="FFFF0000"/>
        <rFont val="Calibri"/>
        <family val="2"/>
      </rPr>
      <t>ã</t>
    </r>
    <r>
      <rPr>
        <sz val="11"/>
        <color rgb="FFFF0000"/>
        <rFont val="Arial Narrow"/>
        <family val="2"/>
      </rPr>
      <t>o Ant</t>
    </r>
    <r>
      <rPr>
        <sz val="11"/>
        <color rgb="FFFF0000"/>
        <rFont val="Calibri"/>
        <family val="2"/>
      </rPr>
      <t>ó</t>
    </r>
    <r>
      <rPr>
        <sz val="11"/>
        <color rgb="FFFF0000"/>
        <rFont val="Arial Narrow"/>
        <family val="2"/>
      </rPr>
      <t>nio</t>
    </r>
  </si>
  <si>
    <r>
      <t>Joaquim Jo</t>
    </r>
    <r>
      <rPr>
        <sz val="11"/>
        <color rgb="FFFF0000"/>
        <rFont val="Calibri"/>
        <family val="2"/>
      </rPr>
      <t>ã</t>
    </r>
    <r>
      <rPr>
        <sz val="11"/>
        <color rgb="FFFF0000"/>
        <rFont val="Arial Narrow"/>
        <family val="2"/>
      </rPr>
      <t>o Fonseca Ali</t>
    </r>
  </si>
  <si>
    <r>
      <t>Eus</t>
    </r>
    <r>
      <rPr>
        <sz val="11"/>
        <color rgb="FFFF0000"/>
        <rFont val="Calibri"/>
        <family val="2"/>
      </rPr>
      <t>é</t>
    </r>
    <r>
      <rPr>
        <sz val="11"/>
        <color rgb="FFFF0000"/>
        <rFont val="Arial Narrow"/>
        <family val="2"/>
      </rPr>
      <t>bio M</t>
    </r>
    <r>
      <rPr>
        <sz val="11"/>
        <color rgb="FFFF0000"/>
        <rFont val="Calibri"/>
        <family val="2"/>
      </rPr>
      <t>á</t>
    </r>
    <r>
      <rPr>
        <sz val="11"/>
        <color rgb="FFFF0000"/>
        <rFont val="Arial Narrow"/>
        <family val="2"/>
      </rPr>
      <t>rio Estêvão</t>
    </r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</si>
</sst>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11"/>
      <color theme="1"/>
      <name val="Calibri"/>
      <family val="2"/>
    </font>
    <font>
      <b/>
      <sz val="11"/>
      <color theme="1"/>
      <name val="Arial Narrow"/>
      <family val="2"/>
    </font>
    <font>
      <b/>
      <sz val="11"/>
      <color theme="1"/>
      <name val="Calibri"/>
      <family val="2"/>
    </font>
    <font>
      <sz val="11"/>
      <color theme="1"/>
      <name val="Marlett"/>
      <charset val="2"/>
    </font>
    <font>
      <sz val="11"/>
      <color rgb="FFFF0000"/>
      <name val="Arial Narrow"/>
      <family val="2"/>
    </font>
    <font>
      <sz val="11"/>
      <color rgb="FFFF0000"/>
      <name val="Calibri"/>
      <family val="2"/>
    </font>
    <font>
      <sz val="11"/>
      <color rgb="FFC00000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7">
    <xf numFmtId="0" fontId="0" fillId="0" borderId="0" xfId="0"/>
    <xf numFmtId="0" fontId="4" fillId="2" borderId="1" xfId="0" applyFont="1" applyFill="1" applyBorder="1" applyAlignment="1">
      <alignment horizontal="center"/>
    </xf>
    <xf numFmtId="43" fontId="4" fillId="2" borderId="1" xfId="1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43" fontId="2" fillId="2" borderId="1" xfId="1" applyFont="1" applyFill="1" applyBorder="1"/>
    <xf numFmtId="9" fontId="2" fillId="2" borderId="1" xfId="0" applyNumberFormat="1" applyFont="1" applyFill="1" applyBorder="1"/>
    <xf numFmtId="0" fontId="2" fillId="2" borderId="0" xfId="0" applyFont="1" applyFill="1"/>
    <xf numFmtId="0" fontId="2" fillId="2" borderId="1" xfId="0" applyFont="1" applyFill="1" applyBorder="1" applyAlignment="1">
      <alignment horizontal="left"/>
    </xf>
    <xf numFmtId="0" fontId="2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43" fontId="2" fillId="2" borderId="0" xfId="1" applyFont="1" applyFill="1"/>
    <xf numFmtId="43" fontId="4" fillId="3" borderId="0" xfId="1" applyFont="1" applyFill="1"/>
    <xf numFmtId="0" fontId="7" fillId="2" borderId="1" xfId="0" applyFont="1" applyFill="1" applyBorder="1"/>
    <xf numFmtId="0" fontId="9" fillId="2" borderId="1" xfId="0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325"/>
  <sheetViews>
    <sheetView tabSelected="1" zoomScale="184" zoomScaleNormal="184" workbookViewId="0">
      <pane ySplit="1" topLeftCell="A242" activePane="bottomLeft" state="frozen"/>
      <selection pane="bottomLeft" activeCell="C2" sqref="C2:C255"/>
    </sheetView>
  </sheetViews>
  <sheetFormatPr defaultColWidth="8.7109375" defaultRowHeight="16.5"/>
  <cols>
    <col min="1" max="1" width="4.42578125" style="9" customWidth="1"/>
    <col min="2" max="2" width="26.85546875" style="9" bestFit="1" customWidth="1"/>
    <col min="3" max="3" width="10.5703125" style="9" bestFit="1" customWidth="1"/>
    <col min="4" max="6" width="10.28515625" style="9" customWidth="1"/>
    <col min="7" max="8" width="8.7109375" style="11"/>
    <col min="9" max="9" width="17.42578125" style="11" bestFit="1" customWidth="1"/>
    <col min="10" max="10" width="17.42578125" style="9" customWidth="1"/>
    <col min="11" max="11" width="17.42578125" style="13" customWidth="1"/>
    <col min="12" max="12" width="9.140625" style="9" bestFit="1" customWidth="1"/>
    <col min="13" max="13" width="58.7109375" style="9" bestFit="1" customWidth="1"/>
    <col min="14" max="14" width="28.85546875" style="11" customWidth="1"/>
    <col min="15" max="15" width="20.7109375" style="9" bestFit="1" customWidth="1"/>
    <col min="16" max="16" width="17.7109375" style="9" bestFit="1" customWidth="1"/>
    <col min="17" max="17" width="85.7109375" style="9" bestFit="1" customWidth="1"/>
    <col min="18" max="16384" width="8.7109375" style="9"/>
  </cols>
  <sheetData>
    <row r="1" spans="1:17" s="3" customFormat="1">
      <c r="A1" s="1" t="s">
        <v>28</v>
      </c>
      <c r="B1" s="1" t="s">
        <v>0</v>
      </c>
      <c r="C1" s="1" t="s">
        <v>1</v>
      </c>
      <c r="D1" s="1" t="s">
        <v>139</v>
      </c>
      <c r="E1" s="1" t="s">
        <v>302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14</v>
      </c>
      <c r="K1" s="2" t="s">
        <v>15</v>
      </c>
      <c r="L1" s="1" t="s">
        <v>16</v>
      </c>
      <c r="M1" s="1" t="s">
        <v>9</v>
      </c>
      <c r="N1" s="1" t="s">
        <v>18</v>
      </c>
      <c r="O1" s="1" t="s">
        <v>10</v>
      </c>
      <c r="P1" s="1" t="s">
        <v>341</v>
      </c>
      <c r="Q1" s="1" t="s">
        <v>8</v>
      </c>
    </row>
    <row r="2" spans="1:17" ht="17.25">
      <c r="A2" s="4">
        <v>1</v>
      </c>
      <c r="B2" s="4" t="s">
        <v>11</v>
      </c>
      <c r="C2" s="4" t="s">
        <v>12</v>
      </c>
      <c r="D2" s="4">
        <v>1982</v>
      </c>
      <c r="E2" s="4">
        <f t="shared" ref="E2:E5" si="0">2025-D2</f>
        <v>43</v>
      </c>
      <c r="F2" s="4">
        <v>874761923</v>
      </c>
      <c r="G2" s="6" t="s">
        <v>25</v>
      </c>
      <c r="H2" s="6" t="s">
        <v>13</v>
      </c>
      <c r="I2" s="6" t="s">
        <v>13</v>
      </c>
      <c r="J2" s="4">
        <v>2</v>
      </c>
      <c r="K2" s="7">
        <v>500000</v>
      </c>
      <c r="L2" s="8">
        <v>0.09</v>
      </c>
      <c r="M2" s="4" t="s">
        <v>17</v>
      </c>
      <c r="N2" s="5" t="s">
        <v>19</v>
      </c>
      <c r="O2" s="4" t="s">
        <v>23</v>
      </c>
      <c r="P2" s="4" t="s">
        <v>7</v>
      </c>
      <c r="Q2" s="4" t="s">
        <v>452</v>
      </c>
    </row>
    <row r="3" spans="1:17" ht="17.25">
      <c r="A3" s="4">
        <f>A2+1</f>
        <v>2</v>
      </c>
      <c r="B3" s="4" t="s">
        <v>20</v>
      </c>
      <c r="C3" s="4" t="s">
        <v>12</v>
      </c>
      <c r="D3" s="4">
        <v>1987</v>
      </c>
      <c r="E3" s="4">
        <f t="shared" si="0"/>
        <v>38</v>
      </c>
      <c r="F3" s="4">
        <v>862115516</v>
      </c>
      <c r="G3" s="6" t="s">
        <v>25</v>
      </c>
      <c r="H3" s="6" t="s">
        <v>13</v>
      </c>
      <c r="I3" s="6" t="s">
        <v>13</v>
      </c>
      <c r="J3" s="4"/>
      <c r="K3" s="7">
        <v>450000</v>
      </c>
      <c r="L3" s="8">
        <v>0.09</v>
      </c>
      <c r="M3" s="4" t="s">
        <v>21</v>
      </c>
      <c r="N3" s="5" t="s">
        <v>22</v>
      </c>
      <c r="O3" s="4" t="s">
        <v>23</v>
      </c>
      <c r="P3" s="4" t="s">
        <v>7</v>
      </c>
      <c r="Q3" s="4" t="s">
        <v>458</v>
      </c>
    </row>
    <row r="4" spans="1:17" ht="17.25">
      <c r="A4" s="4">
        <f t="shared" ref="A4:A5" si="1">A3+1</f>
        <v>3</v>
      </c>
      <c r="B4" s="15" t="s">
        <v>24</v>
      </c>
      <c r="C4" s="4" t="s">
        <v>12</v>
      </c>
      <c r="D4" s="4">
        <v>1990</v>
      </c>
      <c r="E4" s="4">
        <f t="shared" si="0"/>
        <v>35</v>
      </c>
      <c r="F4" s="4">
        <v>872067030</v>
      </c>
      <c r="G4" s="6" t="s">
        <v>13</v>
      </c>
      <c r="H4" s="6" t="s">
        <v>13</v>
      </c>
      <c r="I4" s="6" t="s">
        <v>13</v>
      </c>
      <c r="J4" s="4"/>
      <c r="K4" s="7">
        <v>1000000</v>
      </c>
      <c r="L4" s="8">
        <v>0.09</v>
      </c>
      <c r="M4" s="4" t="s">
        <v>98</v>
      </c>
      <c r="N4" s="5" t="s">
        <v>27</v>
      </c>
      <c r="O4" s="4" t="s">
        <v>23</v>
      </c>
      <c r="P4" s="4" t="s">
        <v>6</v>
      </c>
      <c r="Q4" s="4"/>
    </row>
    <row r="5" spans="1:17" ht="17.25">
      <c r="A5" s="4">
        <f t="shared" si="1"/>
        <v>4</v>
      </c>
      <c r="B5" s="4" t="s">
        <v>26</v>
      </c>
      <c r="C5" s="4" t="s">
        <v>12</v>
      </c>
      <c r="D5" s="4">
        <v>1994</v>
      </c>
      <c r="E5" s="4">
        <f t="shared" si="0"/>
        <v>31</v>
      </c>
      <c r="F5" s="4">
        <v>877362873</v>
      </c>
      <c r="G5" s="6" t="s">
        <v>13</v>
      </c>
      <c r="H5" s="6" t="s">
        <v>13</v>
      </c>
      <c r="I5" s="6" t="s">
        <v>13</v>
      </c>
      <c r="J5" s="4"/>
      <c r="K5" s="7">
        <v>300000</v>
      </c>
      <c r="L5" s="8">
        <v>0.09</v>
      </c>
      <c r="M5" s="4" t="s">
        <v>92</v>
      </c>
      <c r="N5" s="5" t="s">
        <v>22</v>
      </c>
      <c r="O5" s="4" t="s">
        <v>23</v>
      </c>
      <c r="P5" s="4" t="s">
        <v>6</v>
      </c>
      <c r="Q5" s="4"/>
    </row>
    <row r="6" spans="1:17" ht="17.25">
      <c r="A6" s="4">
        <f t="shared" ref="A6:A37" si="2">A5+1</f>
        <v>5</v>
      </c>
      <c r="B6" s="4" t="s">
        <v>192</v>
      </c>
      <c r="C6" s="4" t="s">
        <v>241</v>
      </c>
      <c r="D6" s="4">
        <v>1996</v>
      </c>
      <c r="E6" s="4">
        <f t="shared" ref="E6:E28" si="3">2025-D6</f>
        <v>29</v>
      </c>
      <c r="F6" s="4">
        <v>849109490</v>
      </c>
      <c r="G6" s="6" t="s">
        <v>13</v>
      </c>
      <c r="H6" s="6" t="s">
        <v>25</v>
      </c>
      <c r="I6" s="6" t="s">
        <v>25</v>
      </c>
      <c r="J6" s="4"/>
      <c r="K6" s="7">
        <v>200000</v>
      </c>
      <c r="L6" s="8">
        <v>0.02</v>
      </c>
      <c r="M6" s="4" t="s">
        <v>94</v>
      </c>
      <c r="N6" s="5" t="s">
        <v>27</v>
      </c>
      <c r="O6" s="4" t="s">
        <v>23</v>
      </c>
      <c r="P6" s="4" t="s">
        <v>7</v>
      </c>
      <c r="Q6" s="4" t="s">
        <v>180</v>
      </c>
    </row>
    <row r="7" spans="1:17" ht="17.25">
      <c r="A7" s="4">
        <f t="shared" si="2"/>
        <v>6</v>
      </c>
      <c r="B7" s="4" t="s">
        <v>29</v>
      </c>
      <c r="C7" s="4" t="s">
        <v>12</v>
      </c>
      <c r="D7" s="4">
        <v>1984</v>
      </c>
      <c r="E7" s="4">
        <f t="shared" si="3"/>
        <v>41</v>
      </c>
      <c r="F7" s="4">
        <v>867970477</v>
      </c>
      <c r="G7" s="6" t="s">
        <v>13</v>
      </c>
      <c r="H7" s="6" t="s">
        <v>13</v>
      </c>
      <c r="I7" s="6" t="s">
        <v>13</v>
      </c>
      <c r="J7" s="4"/>
      <c r="K7" s="7">
        <v>100000</v>
      </c>
      <c r="L7" s="8">
        <v>0.09</v>
      </c>
      <c r="M7" s="4" t="s">
        <v>92</v>
      </c>
      <c r="N7" s="5" t="s">
        <v>27</v>
      </c>
      <c r="O7" s="4" t="s">
        <v>23</v>
      </c>
      <c r="P7" s="4" t="s">
        <v>6</v>
      </c>
      <c r="Q7" s="4"/>
    </row>
    <row r="8" spans="1:17" ht="17.25">
      <c r="A8" s="4">
        <f t="shared" si="2"/>
        <v>7</v>
      </c>
      <c r="B8" s="15" t="s">
        <v>30</v>
      </c>
      <c r="C8" s="4" t="s">
        <v>12</v>
      </c>
      <c r="D8" s="4">
        <v>1990</v>
      </c>
      <c r="E8" s="4">
        <f t="shared" si="3"/>
        <v>35</v>
      </c>
      <c r="F8" s="4">
        <v>879917000</v>
      </c>
      <c r="G8" s="6" t="s">
        <v>13</v>
      </c>
      <c r="H8" s="6" t="s">
        <v>13</v>
      </c>
      <c r="I8" s="6" t="s">
        <v>13</v>
      </c>
      <c r="J8" s="4"/>
      <c r="K8" s="7">
        <v>150000</v>
      </c>
      <c r="L8" s="8">
        <v>0.09</v>
      </c>
      <c r="M8" s="4" t="s">
        <v>92</v>
      </c>
      <c r="N8" s="5" t="s">
        <v>27</v>
      </c>
      <c r="O8" s="4" t="s">
        <v>23</v>
      </c>
      <c r="P8" s="4" t="s">
        <v>6</v>
      </c>
      <c r="Q8" s="4"/>
    </row>
    <row r="9" spans="1:17" ht="17.25">
      <c r="A9" s="4">
        <f t="shared" si="2"/>
        <v>8</v>
      </c>
      <c r="B9" s="15" t="s">
        <v>429</v>
      </c>
      <c r="C9" s="4" t="s">
        <v>12</v>
      </c>
      <c r="D9" s="4">
        <v>1964</v>
      </c>
      <c r="E9" s="4">
        <f t="shared" si="3"/>
        <v>61</v>
      </c>
      <c r="F9" s="4">
        <v>877190102</v>
      </c>
      <c r="G9" s="6" t="s">
        <v>13</v>
      </c>
      <c r="H9" s="6" t="s">
        <v>13</v>
      </c>
      <c r="I9" s="6" t="s">
        <v>13</v>
      </c>
      <c r="J9" s="4"/>
      <c r="K9" s="7">
        <v>500000</v>
      </c>
      <c r="L9" s="8">
        <v>0.09</v>
      </c>
      <c r="M9" s="4" t="s">
        <v>31</v>
      </c>
      <c r="N9" s="5" t="s">
        <v>32</v>
      </c>
      <c r="O9" s="4" t="s">
        <v>23</v>
      </c>
      <c r="P9" s="4" t="s">
        <v>6</v>
      </c>
      <c r="Q9" s="4"/>
    </row>
    <row r="10" spans="1:17" ht="17.25">
      <c r="A10" s="4">
        <f t="shared" si="2"/>
        <v>9</v>
      </c>
      <c r="B10" s="4" t="s">
        <v>33</v>
      </c>
      <c r="C10" s="4" t="s">
        <v>12</v>
      </c>
      <c r="D10" s="4">
        <v>1994</v>
      </c>
      <c r="E10" s="4">
        <f t="shared" si="3"/>
        <v>31</v>
      </c>
      <c r="F10" s="4">
        <v>873885835</v>
      </c>
      <c r="G10" s="6" t="s">
        <v>13</v>
      </c>
      <c r="H10" s="6" t="s">
        <v>13</v>
      </c>
      <c r="I10" s="6" t="s">
        <v>13</v>
      </c>
      <c r="J10" s="4"/>
      <c r="K10" s="7">
        <v>100000</v>
      </c>
      <c r="L10" s="8">
        <v>0.09</v>
      </c>
      <c r="M10" s="4" t="s">
        <v>34</v>
      </c>
      <c r="N10" s="5" t="s">
        <v>27</v>
      </c>
      <c r="O10" s="4" t="s">
        <v>23</v>
      </c>
      <c r="P10" s="4" t="s">
        <v>6</v>
      </c>
      <c r="Q10" s="4"/>
    </row>
    <row r="11" spans="1:17" ht="17.25">
      <c r="A11" s="4">
        <f t="shared" si="2"/>
        <v>10</v>
      </c>
      <c r="B11" s="15" t="s">
        <v>469</v>
      </c>
      <c r="C11" s="4" t="s">
        <v>12</v>
      </c>
      <c r="D11" s="4">
        <v>1977</v>
      </c>
      <c r="E11" s="4">
        <f t="shared" si="3"/>
        <v>48</v>
      </c>
      <c r="F11" s="4">
        <v>865107622</v>
      </c>
      <c r="G11" s="6" t="s">
        <v>13</v>
      </c>
      <c r="H11" s="6" t="s">
        <v>13</v>
      </c>
      <c r="I11" s="6" t="s">
        <v>13</v>
      </c>
      <c r="J11" s="4"/>
      <c r="K11" s="7">
        <v>200000</v>
      </c>
      <c r="L11" s="8">
        <v>0.09</v>
      </c>
      <c r="M11" s="4" t="s">
        <v>386</v>
      </c>
      <c r="N11" s="5" t="s">
        <v>387</v>
      </c>
      <c r="O11" s="4" t="s">
        <v>23</v>
      </c>
      <c r="P11" s="4" t="s">
        <v>6</v>
      </c>
      <c r="Q11" s="4"/>
    </row>
    <row r="12" spans="1:17" ht="17.25">
      <c r="A12" s="4">
        <f t="shared" si="2"/>
        <v>11</v>
      </c>
      <c r="B12" s="15" t="s">
        <v>35</v>
      </c>
      <c r="C12" s="4" t="s">
        <v>12</v>
      </c>
      <c r="D12" s="4">
        <v>1972</v>
      </c>
      <c r="E12" s="4">
        <f t="shared" si="3"/>
        <v>53</v>
      </c>
      <c r="F12" s="4">
        <v>846153600</v>
      </c>
      <c r="G12" s="6" t="s">
        <v>13</v>
      </c>
      <c r="H12" s="6" t="s">
        <v>13</v>
      </c>
      <c r="I12" s="6" t="s">
        <v>13</v>
      </c>
      <c r="J12" s="4"/>
      <c r="K12" s="7">
        <v>130000</v>
      </c>
      <c r="L12" s="8">
        <v>0.09</v>
      </c>
      <c r="M12" s="4" t="s">
        <v>36</v>
      </c>
      <c r="N12" s="5" t="s">
        <v>27</v>
      </c>
      <c r="O12" s="4" t="s">
        <v>23</v>
      </c>
      <c r="P12" s="4" t="s">
        <v>6</v>
      </c>
      <c r="Q12" s="4"/>
    </row>
    <row r="13" spans="1:17" ht="17.25">
      <c r="A13" s="4">
        <f t="shared" si="2"/>
        <v>12</v>
      </c>
      <c r="B13" s="15" t="s">
        <v>37</v>
      </c>
      <c r="C13" s="4" t="s">
        <v>12</v>
      </c>
      <c r="D13" s="4">
        <v>1986</v>
      </c>
      <c r="E13" s="4">
        <f t="shared" si="3"/>
        <v>39</v>
      </c>
      <c r="F13" s="4">
        <v>861158857</v>
      </c>
      <c r="G13" s="6" t="s">
        <v>13</v>
      </c>
      <c r="H13" s="6" t="s">
        <v>13</v>
      </c>
      <c r="I13" s="6" t="s">
        <v>13</v>
      </c>
      <c r="J13" s="4">
        <v>2</v>
      </c>
      <c r="K13" s="7">
        <v>300000</v>
      </c>
      <c r="L13" s="8">
        <v>0.09</v>
      </c>
      <c r="M13" s="4" t="s">
        <v>38</v>
      </c>
      <c r="N13" s="5" t="s">
        <v>27</v>
      </c>
      <c r="O13" s="4" t="s">
        <v>23</v>
      </c>
      <c r="P13" s="4" t="s">
        <v>6</v>
      </c>
      <c r="Q13" s="4"/>
    </row>
    <row r="14" spans="1:17" ht="17.25">
      <c r="A14" s="4">
        <f t="shared" si="2"/>
        <v>13</v>
      </c>
      <c r="B14" s="16" t="s">
        <v>39</v>
      </c>
      <c r="C14" s="4" t="s">
        <v>12</v>
      </c>
      <c r="D14" s="4">
        <v>1994</v>
      </c>
      <c r="E14" s="4">
        <f t="shared" si="3"/>
        <v>31</v>
      </c>
      <c r="F14" s="4">
        <v>875566718</v>
      </c>
      <c r="G14" s="6" t="s">
        <v>13</v>
      </c>
      <c r="H14" s="6" t="s">
        <v>13</v>
      </c>
      <c r="I14" s="6" t="s">
        <v>13</v>
      </c>
      <c r="J14" s="4"/>
      <c r="K14" s="7">
        <v>200000</v>
      </c>
      <c r="L14" s="8">
        <v>0.09</v>
      </c>
      <c r="M14" s="4" t="s">
        <v>92</v>
      </c>
      <c r="N14" s="5" t="s">
        <v>27</v>
      </c>
      <c r="O14" s="4" t="s">
        <v>23</v>
      </c>
      <c r="P14" s="4" t="s">
        <v>6</v>
      </c>
      <c r="Q14" s="4"/>
    </row>
    <row r="15" spans="1:17" ht="17.25">
      <c r="A15" s="4">
        <f t="shared" si="2"/>
        <v>14</v>
      </c>
      <c r="B15" s="15" t="s">
        <v>40</v>
      </c>
      <c r="C15" s="4" t="s">
        <v>12</v>
      </c>
      <c r="D15" s="4">
        <v>1987</v>
      </c>
      <c r="E15" s="4">
        <f t="shared" si="3"/>
        <v>38</v>
      </c>
      <c r="F15" s="4">
        <v>877249543</v>
      </c>
      <c r="G15" s="6" t="s">
        <v>13</v>
      </c>
      <c r="H15" s="6" t="s">
        <v>13</v>
      </c>
      <c r="I15" s="6" t="s">
        <v>13</v>
      </c>
      <c r="J15" s="4"/>
      <c r="K15" s="7">
        <v>150000</v>
      </c>
      <c r="L15" s="8">
        <v>0.09</v>
      </c>
      <c r="M15" s="4" t="s">
        <v>41</v>
      </c>
      <c r="N15" s="5" t="s">
        <v>27</v>
      </c>
      <c r="O15" s="4" t="s">
        <v>23</v>
      </c>
      <c r="P15" s="4" t="s">
        <v>6</v>
      </c>
      <c r="Q15" s="4"/>
    </row>
    <row r="16" spans="1:17" ht="17.25">
      <c r="A16" s="4">
        <f t="shared" si="2"/>
        <v>15</v>
      </c>
      <c r="B16" s="15" t="s">
        <v>474</v>
      </c>
      <c r="C16" s="4" t="s">
        <v>12</v>
      </c>
      <c r="D16" s="4">
        <v>2003</v>
      </c>
      <c r="E16" s="4">
        <f t="shared" si="3"/>
        <v>22</v>
      </c>
      <c r="F16" s="4">
        <v>870052624</v>
      </c>
      <c r="G16" s="6" t="s">
        <v>13</v>
      </c>
      <c r="H16" s="6" t="s">
        <v>13</v>
      </c>
      <c r="I16" s="6" t="s">
        <v>13</v>
      </c>
      <c r="J16" s="4"/>
      <c r="K16" s="7">
        <v>500000</v>
      </c>
      <c r="L16" s="8">
        <v>0.09</v>
      </c>
      <c r="M16" s="4" t="s">
        <v>92</v>
      </c>
      <c r="N16" s="5" t="s">
        <v>27</v>
      </c>
      <c r="O16" s="4" t="s">
        <v>23</v>
      </c>
      <c r="P16" s="4" t="s">
        <v>6</v>
      </c>
      <c r="Q16" s="4"/>
    </row>
    <row r="17" spans="1:17" ht="17.25">
      <c r="A17" s="4">
        <f t="shared" si="2"/>
        <v>16</v>
      </c>
      <c r="B17" s="15" t="s">
        <v>42</v>
      </c>
      <c r="C17" s="4" t="s">
        <v>12</v>
      </c>
      <c r="D17" s="4">
        <v>1994</v>
      </c>
      <c r="E17" s="4">
        <f t="shared" si="3"/>
        <v>31</v>
      </c>
      <c r="F17" s="4">
        <v>874018563</v>
      </c>
      <c r="G17" s="6" t="s">
        <v>13</v>
      </c>
      <c r="H17" s="6" t="s">
        <v>13</v>
      </c>
      <c r="I17" s="6" t="s">
        <v>13</v>
      </c>
      <c r="J17" s="4"/>
      <c r="K17" s="7">
        <v>100000</v>
      </c>
      <c r="L17" s="8">
        <v>0.09</v>
      </c>
      <c r="M17" s="4" t="s">
        <v>92</v>
      </c>
      <c r="N17" s="5" t="s">
        <v>27</v>
      </c>
      <c r="O17" s="4" t="s">
        <v>23</v>
      </c>
      <c r="P17" s="4" t="s">
        <v>6</v>
      </c>
      <c r="Q17" s="4"/>
    </row>
    <row r="18" spans="1:17" ht="17.25">
      <c r="A18" s="4">
        <f t="shared" si="2"/>
        <v>17</v>
      </c>
      <c r="B18" s="15" t="s">
        <v>473</v>
      </c>
      <c r="C18" s="4" t="s">
        <v>12</v>
      </c>
      <c r="D18" s="4">
        <v>1984</v>
      </c>
      <c r="E18" s="4">
        <f t="shared" si="3"/>
        <v>41</v>
      </c>
      <c r="F18" s="4">
        <v>845728564</v>
      </c>
      <c r="G18" s="6" t="s">
        <v>13</v>
      </c>
      <c r="H18" s="6" t="s">
        <v>13</v>
      </c>
      <c r="I18" s="6" t="s">
        <v>13</v>
      </c>
      <c r="J18" s="4"/>
      <c r="K18" s="7">
        <v>150000</v>
      </c>
      <c r="L18" s="8">
        <v>0.09</v>
      </c>
      <c r="M18" s="4" t="s">
        <v>43</v>
      </c>
      <c r="N18" s="5" t="s">
        <v>44</v>
      </c>
      <c r="O18" s="4" t="s">
        <v>23</v>
      </c>
      <c r="P18" s="4" t="s">
        <v>6</v>
      </c>
      <c r="Q18" s="4"/>
    </row>
    <row r="19" spans="1:17" ht="17.25">
      <c r="A19" s="4">
        <f t="shared" si="2"/>
        <v>18</v>
      </c>
      <c r="B19" s="15" t="s">
        <v>45</v>
      </c>
      <c r="C19" s="4" t="s">
        <v>12</v>
      </c>
      <c r="D19" s="4">
        <v>2001</v>
      </c>
      <c r="E19" s="4">
        <f t="shared" si="3"/>
        <v>24</v>
      </c>
      <c r="F19" s="4">
        <v>874321459</v>
      </c>
      <c r="G19" s="6" t="s">
        <v>13</v>
      </c>
      <c r="H19" s="6" t="s">
        <v>13</v>
      </c>
      <c r="I19" s="6" t="s">
        <v>13</v>
      </c>
      <c r="J19" s="4"/>
      <c r="K19" s="7">
        <v>50000</v>
      </c>
      <c r="L19" s="8">
        <v>0.09</v>
      </c>
      <c r="M19" s="4" t="s">
        <v>46</v>
      </c>
      <c r="N19" s="5" t="s">
        <v>27</v>
      </c>
      <c r="O19" s="4" t="s">
        <v>23</v>
      </c>
      <c r="P19" s="4" t="s">
        <v>6</v>
      </c>
      <c r="Q19" s="4"/>
    </row>
    <row r="20" spans="1:17" ht="17.25">
      <c r="A20" s="4">
        <f t="shared" si="2"/>
        <v>19</v>
      </c>
      <c r="B20" s="15" t="s">
        <v>47</v>
      </c>
      <c r="C20" s="4" t="s">
        <v>12</v>
      </c>
      <c r="D20" s="4">
        <v>1993</v>
      </c>
      <c r="E20" s="4">
        <f t="shared" si="3"/>
        <v>32</v>
      </c>
      <c r="F20" s="4">
        <v>864619397</v>
      </c>
      <c r="G20" s="6" t="s">
        <v>13</v>
      </c>
      <c r="H20" s="6" t="s">
        <v>13</v>
      </c>
      <c r="I20" s="6" t="s">
        <v>13</v>
      </c>
      <c r="J20" s="4"/>
      <c r="K20" s="7">
        <v>100000</v>
      </c>
      <c r="L20" s="8">
        <v>0.09</v>
      </c>
      <c r="M20" s="4" t="s">
        <v>41</v>
      </c>
      <c r="N20" s="5" t="s">
        <v>27</v>
      </c>
      <c r="O20" s="4" t="s">
        <v>23</v>
      </c>
      <c r="P20" s="4" t="s">
        <v>6</v>
      </c>
      <c r="Q20" s="4"/>
    </row>
    <row r="21" spans="1:17" ht="17.25">
      <c r="A21" s="4">
        <f t="shared" si="2"/>
        <v>20</v>
      </c>
      <c r="B21" s="4" t="s">
        <v>48</v>
      </c>
      <c r="C21" s="4" t="s">
        <v>12</v>
      </c>
      <c r="D21" s="4">
        <v>2003</v>
      </c>
      <c r="E21" s="4">
        <f t="shared" si="3"/>
        <v>22</v>
      </c>
      <c r="F21" s="4">
        <v>864287225</v>
      </c>
      <c r="G21" s="6" t="s">
        <v>13</v>
      </c>
      <c r="H21" s="6" t="s">
        <v>13</v>
      </c>
      <c r="I21" s="6" t="s">
        <v>13</v>
      </c>
      <c r="J21" s="4">
        <v>2</v>
      </c>
      <c r="K21" s="7">
        <v>300000</v>
      </c>
      <c r="L21" s="8">
        <v>0.09</v>
      </c>
      <c r="M21" s="4" t="s">
        <v>92</v>
      </c>
      <c r="N21" s="5" t="s">
        <v>27</v>
      </c>
      <c r="O21" s="4" t="s">
        <v>23</v>
      </c>
      <c r="P21" s="4" t="s">
        <v>6</v>
      </c>
      <c r="Q21" s="4"/>
    </row>
    <row r="22" spans="1:17" ht="17.25">
      <c r="A22" s="4">
        <f t="shared" si="2"/>
        <v>21</v>
      </c>
      <c r="B22" s="15" t="s">
        <v>49</v>
      </c>
      <c r="C22" s="4" t="s">
        <v>12</v>
      </c>
      <c r="D22" s="4">
        <v>1990</v>
      </c>
      <c r="E22" s="4">
        <f t="shared" si="3"/>
        <v>35</v>
      </c>
      <c r="F22" s="4">
        <v>870439498</v>
      </c>
      <c r="G22" s="6" t="s">
        <v>13</v>
      </c>
      <c r="H22" s="6" t="s">
        <v>13</v>
      </c>
      <c r="I22" s="6" t="s">
        <v>13</v>
      </c>
      <c r="J22" s="4">
        <v>2</v>
      </c>
      <c r="K22" s="7">
        <v>215000</v>
      </c>
      <c r="L22" s="8">
        <v>0.09</v>
      </c>
      <c r="M22" s="4" t="s">
        <v>92</v>
      </c>
      <c r="N22" s="5" t="s">
        <v>27</v>
      </c>
      <c r="O22" s="4" t="s">
        <v>23</v>
      </c>
      <c r="P22" s="4" t="s">
        <v>6</v>
      </c>
      <c r="Q22" s="4"/>
    </row>
    <row r="23" spans="1:17" ht="17.25">
      <c r="A23" s="4">
        <f t="shared" si="2"/>
        <v>22</v>
      </c>
      <c r="B23" s="15" t="s">
        <v>51</v>
      </c>
      <c r="C23" s="4" t="s">
        <v>12</v>
      </c>
      <c r="D23" s="4">
        <v>1993</v>
      </c>
      <c r="E23" s="4">
        <f t="shared" si="3"/>
        <v>32</v>
      </c>
      <c r="F23" s="4">
        <v>878398133</v>
      </c>
      <c r="G23" s="6" t="s">
        <v>13</v>
      </c>
      <c r="H23" s="6" t="s">
        <v>13</v>
      </c>
      <c r="I23" s="6" t="s">
        <v>13</v>
      </c>
      <c r="J23" s="4"/>
      <c r="K23" s="7">
        <v>250000</v>
      </c>
      <c r="L23" s="8">
        <v>0.09</v>
      </c>
      <c r="M23" s="4" t="s">
        <v>52</v>
      </c>
      <c r="N23" s="5" t="s">
        <v>27</v>
      </c>
      <c r="O23" s="4" t="s">
        <v>53</v>
      </c>
      <c r="P23" s="4" t="s">
        <v>7</v>
      </c>
      <c r="Q23" s="4" t="s">
        <v>54</v>
      </c>
    </row>
    <row r="24" spans="1:17" ht="17.25">
      <c r="A24" s="4">
        <f t="shared" si="2"/>
        <v>23</v>
      </c>
      <c r="B24" s="15" t="s">
        <v>55</v>
      </c>
      <c r="C24" s="4" t="s">
        <v>12</v>
      </c>
      <c r="D24" s="4">
        <v>1996</v>
      </c>
      <c r="E24" s="4">
        <f t="shared" si="3"/>
        <v>29</v>
      </c>
      <c r="F24" s="4">
        <v>877170575</v>
      </c>
      <c r="G24" s="6" t="s">
        <v>13</v>
      </c>
      <c r="H24" s="6" t="s">
        <v>13</v>
      </c>
      <c r="I24" s="6" t="s">
        <v>13</v>
      </c>
      <c r="J24" s="4"/>
      <c r="K24" s="7">
        <v>200000</v>
      </c>
      <c r="L24" s="8">
        <v>0.09</v>
      </c>
      <c r="M24" s="4" t="s">
        <v>92</v>
      </c>
      <c r="N24" s="5" t="s">
        <v>27</v>
      </c>
      <c r="O24" s="4" t="s">
        <v>23</v>
      </c>
      <c r="P24" s="4" t="s">
        <v>6</v>
      </c>
      <c r="Q24" s="4" t="s">
        <v>56</v>
      </c>
    </row>
    <row r="25" spans="1:17" ht="17.25">
      <c r="A25" s="4">
        <f t="shared" si="2"/>
        <v>24</v>
      </c>
      <c r="B25" s="4" t="s">
        <v>57</v>
      </c>
      <c r="C25" s="4" t="s">
        <v>12</v>
      </c>
      <c r="D25" s="4">
        <v>1991</v>
      </c>
      <c r="E25" s="4">
        <f t="shared" si="3"/>
        <v>34</v>
      </c>
      <c r="F25" s="4">
        <v>843648514</v>
      </c>
      <c r="G25" s="6" t="s">
        <v>13</v>
      </c>
      <c r="H25" s="6" t="s">
        <v>13</v>
      </c>
      <c r="I25" s="6" t="s">
        <v>13</v>
      </c>
      <c r="J25" s="4"/>
      <c r="K25" s="7">
        <v>50000</v>
      </c>
      <c r="L25" s="8">
        <v>0.09</v>
      </c>
      <c r="M25" s="4" t="s">
        <v>58</v>
      </c>
      <c r="N25" s="5" t="s">
        <v>59</v>
      </c>
      <c r="O25" s="4" t="s">
        <v>23</v>
      </c>
      <c r="P25" s="4" t="s">
        <v>6</v>
      </c>
      <c r="Q25" s="4" t="s">
        <v>56</v>
      </c>
    </row>
    <row r="26" spans="1:17" ht="17.25">
      <c r="A26" s="4">
        <f t="shared" si="2"/>
        <v>25</v>
      </c>
      <c r="B26" s="4" t="s">
        <v>60</v>
      </c>
      <c r="C26" s="4" t="s">
        <v>12</v>
      </c>
      <c r="D26" s="4">
        <v>1983</v>
      </c>
      <c r="E26" s="4">
        <f t="shared" si="3"/>
        <v>42</v>
      </c>
      <c r="F26" s="4">
        <v>869974064</v>
      </c>
      <c r="G26" s="6" t="s">
        <v>13</v>
      </c>
      <c r="H26" s="6" t="s">
        <v>13</v>
      </c>
      <c r="I26" s="6" t="s">
        <v>13</v>
      </c>
      <c r="J26" s="4"/>
      <c r="K26" s="7">
        <v>700000</v>
      </c>
      <c r="L26" s="8">
        <v>0.09</v>
      </c>
      <c r="M26" s="4" t="s">
        <v>92</v>
      </c>
      <c r="N26" s="5" t="s">
        <v>27</v>
      </c>
      <c r="O26" s="4" t="s">
        <v>23</v>
      </c>
      <c r="P26" s="4" t="s">
        <v>6</v>
      </c>
      <c r="Q26" s="4"/>
    </row>
    <row r="27" spans="1:17" ht="17.25">
      <c r="A27" s="4">
        <f t="shared" si="2"/>
        <v>26</v>
      </c>
      <c r="B27" s="15" t="s">
        <v>61</v>
      </c>
      <c r="C27" s="4" t="s">
        <v>12</v>
      </c>
      <c r="D27" s="4">
        <v>2000</v>
      </c>
      <c r="E27" s="4">
        <f t="shared" si="3"/>
        <v>25</v>
      </c>
      <c r="F27" s="4">
        <v>863951618</v>
      </c>
      <c r="G27" s="6" t="s">
        <v>13</v>
      </c>
      <c r="H27" s="6" t="s">
        <v>13</v>
      </c>
      <c r="I27" s="6" t="s">
        <v>13</v>
      </c>
      <c r="J27" s="4"/>
      <c r="K27" s="7">
        <v>100000</v>
      </c>
      <c r="L27" s="8">
        <v>0.09</v>
      </c>
      <c r="M27" s="4" t="s">
        <v>62</v>
      </c>
      <c r="N27" s="5" t="s">
        <v>27</v>
      </c>
      <c r="O27" s="4" t="s">
        <v>23</v>
      </c>
      <c r="P27" s="4" t="s">
        <v>6</v>
      </c>
      <c r="Q27" s="4"/>
    </row>
    <row r="28" spans="1:17" ht="17.25">
      <c r="A28" s="4">
        <f t="shared" si="2"/>
        <v>27</v>
      </c>
      <c r="B28" s="15" t="s">
        <v>464</v>
      </c>
      <c r="C28" s="4" t="s">
        <v>12</v>
      </c>
      <c r="D28" s="4">
        <v>1978</v>
      </c>
      <c r="E28" s="4">
        <f t="shared" si="3"/>
        <v>47</v>
      </c>
      <c r="F28" s="4">
        <v>867365406</v>
      </c>
      <c r="G28" s="6" t="s">
        <v>13</v>
      </c>
      <c r="H28" s="6" t="s">
        <v>13</v>
      </c>
      <c r="I28" s="6" t="s">
        <v>13</v>
      </c>
      <c r="J28" s="4"/>
      <c r="K28" s="7">
        <v>250000</v>
      </c>
      <c r="L28" s="8">
        <v>0.09</v>
      </c>
      <c r="M28" s="4" t="s">
        <v>92</v>
      </c>
      <c r="N28" s="5" t="s">
        <v>27</v>
      </c>
      <c r="O28" s="4" t="s">
        <v>23</v>
      </c>
      <c r="P28" s="4" t="s">
        <v>6</v>
      </c>
      <c r="Q28" s="4"/>
    </row>
    <row r="29" spans="1:17" ht="17.25">
      <c r="A29" s="4">
        <f t="shared" si="2"/>
        <v>28</v>
      </c>
      <c r="B29" s="4" t="s">
        <v>63</v>
      </c>
      <c r="C29" s="4" t="s">
        <v>12</v>
      </c>
      <c r="D29" s="4"/>
      <c r="E29" s="4"/>
      <c r="F29" s="4">
        <v>879911132</v>
      </c>
      <c r="G29" s="6" t="s">
        <v>25</v>
      </c>
      <c r="H29" s="6" t="s">
        <v>13</v>
      </c>
      <c r="I29" s="6" t="s">
        <v>13</v>
      </c>
      <c r="J29" s="4"/>
      <c r="K29" s="7">
        <v>300000</v>
      </c>
      <c r="L29" s="8">
        <v>0.09</v>
      </c>
      <c r="M29" s="4" t="s">
        <v>64</v>
      </c>
      <c r="N29" s="5" t="s">
        <v>27</v>
      </c>
      <c r="O29" s="4" t="s">
        <v>23</v>
      </c>
      <c r="P29" s="4" t="s">
        <v>7</v>
      </c>
      <c r="Q29" s="4" t="s">
        <v>65</v>
      </c>
    </row>
    <row r="30" spans="1:17" ht="17.25">
      <c r="A30" s="4">
        <f t="shared" si="2"/>
        <v>29</v>
      </c>
      <c r="B30" s="15" t="s">
        <v>66</v>
      </c>
      <c r="C30" s="4" t="s">
        <v>12</v>
      </c>
      <c r="D30" s="4">
        <v>1978</v>
      </c>
      <c r="E30" s="4">
        <f t="shared" ref="E30:E68" si="4">2025-D30</f>
        <v>47</v>
      </c>
      <c r="F30" s="4">
        <v>875410826</v>
      </c>
      <c r="G30" s="6" t="s">
        <v>13</v>
      </c>
      <c r="H30" s="6" t="s">
        <v>13</v>
      </c>
      <c r="I30" s="6" t="s">
        <v>13</v>
      </c>
      <c r="J30" s="4"/>
      <c r="K30" s="7">
        <v>300000</v>
      </c>
      <c r="L30" s="8">
        <v>0.09</v>
      </c>
      <c r="M30" s="4" t="s">
        <v>67</v>
      </c>
      <c r="N30" s="5" t="s">
        <v>27</v>
      </c>
      <c r="O30" s="4" t="s">
        <v>23</v>
      </c>
      <c r="P30" s="4" t="s">
        <v>6</v>
      </c>
      <c r="Q30" s="4" t="s">
        <v>56</v>
      </c>
    </row>
    <row r="31" spans="1:17" ht="17.25">
      <c r="A31" s="4">
        <f t="shared" si="2"/>
        <v>30</v>
      </c>
      <c r="B31" s="15" t="s">
        <v>68</v>
      </c>
      <c r="C31" s="4" t="s">
        <v>12</v>
      </c>
      <c r="D31" s="4">
        <v>1984</v>
      </c>
      <c r="E31" s="4">
        <f t="shared" si="4"/>
        <v>41</v>
      </c>
      <c r="F31" s="4">
        <v>877599108</v>
      </c>
      <c r="G31" s="6" t="s">
        <v>13</v>
      </c>
      <c r="H31" s="6" t="s">
        <v>13</v>
      </c>
      <c r="I31" s="6" t="s">
        <v>13</v>
      </c>
      <c r="J31" s="4"/>
      <c r="K31" s="7">
        <v>70000</v>
      </c>
      <c r="L31" s="8">
        <v>0.09</v>
      </c>
      <c r="M31" s="4" t="s">
        <v>92</v>
      </c>
      <c r="N31" s="5" t="s">
        <v>27</v>
      </c>
      <c r="O31" s="4" t="s">
        <v>23</v>
      </c>
      <c r="P31" s="4" t="s">
        <v>6</v>
      </c>
      <c r="Q31" s="4"/>
    </row>
    <row r="32" spans="1:17" ht="17.25">
      <c r="A32" s="4">
        <f t="shared" si="2"/>
        <v>31</v>
      </c>
      <c r="B32" s="15" t="s">
        <v>69</v>
      </c>
      <c r="C32" s="4" t="s">
        <v>12</v>
      </c>
      <c r="D32" s="4">
        <v>1987</v>
      </c>
      <c r="E32" s="4">
        <f t="shared" si="4"/>
        <v>38</v>
      </c>
      <c r="F32" s="4">
        <v>847170265</v>
      </c>
      <c r="G32" s="6" t="s">
        <v>13</v>
      </c>
      <c r="H32" s="6" t="s">
        <v>13</v>
      </c>
      <c r="I32" s="6" t="s">
        <v>13</v>
      </c>
      <c r="J32" s="4"/>
      <c r="K32" s="7">
        <v>300000</v>
      </c>
      <c r="L32" s="8">
        <v>0.09</v>
      </c>
      <c r="M32" s="4" t="s">
        <v>62</v>
      </c>
      <c r="N32" s="5" t="s">
        <v>27</v>
      </c>
      <c r="O32" s="4" t="s">
        <v>23</v>
      </c>
      <c r="P32" s="4" t="s">
        <v>6</v>
      </c>
      <c r="Q32" s="4"/>
    </row>
    <row r="33" spans="1:17" ht="17.25">
      <c r="A33" s="4">
        <f t="shared" si="2"/>
        <v>32</v>
      </c>
      <c r="B33" s="15" t="s">
        <v>70</v>
      </c>
      <c r="C33" s="4" t="s">
        <v>12</v>
      </c>
      <c r="D33" s="4">
        <v>1994</v>
      </c>
      <c r="E33" s="4">
        <f t="shared" si="4"/>
        <v>31</v>
      </c>
      <c r="F33" s="4">
        <v>840548252</v>
      </c>
      <c r="G33" s="6" t="s">
        <v>13</v>
      </c>
      <c r="H33" s="6" t="s">
        <v>13</v>
      </c>
      <c r="I33" s="6" t="s">
        <v>13</v>
      </c>
      <c r="J33" s="4"/>
      <c r="K33" s="7">
        <v>200000</v>
      </c>
      <c r="L33" s="8">
        <v>0.09</v>
      </c>
      <c r="M33" s="4" t="s">
        <v>62</v>
      </c>
      <c r="N33" s="5" t="s">
        <v>27</v>
      </c>
      <c r="O33" s="4" t="s">
        <v>23</v>
      </c>
      <c r="P33" s="4" t="s">
        <v>6</v>
      </c>
      <c r="Q33" s="4"/>
    </row>
    <row r="34" spans="1:17" ht="17.25">
      <c r="A34" s="4">
        <f t="shared" si="2"/>
        <v>33</v>
      </c>
      <c r="B34" s="15" t="s">
        <v>470</v>
      </c>
      <c r="C34" s="4" t="s">
        <v>12</v>
      </c>
      <c r="D34" s="4">
        <v>1974</v>
      </c>
      <c r="E34" s="4">
        <f t="shared" si="4"/>
        <v>51</v>
      </c>
      <c r="F34" s="4">
        <v>878633805</v>
      </c>
      <c r="G34" s="6" t="s">
        <v>13</v>
      </c>
      <c r="H34" s="6" t="s">
        <v>13</v>
      </c>
      <c r="I34" s="6" t="s">
        <v>13</v>
      </c>
      <c r="J34" s="4"/>
      <c r="K34" s="7">
        <v>200000</v>
      </c>
      <c r="L34" s="8">
        <v>0.09</v>
      </c>
      <c r="M34" s="4" t="s">
        <v>92</v>
      </c>
      <c r="N34" s="5" t="s">
        <v>27</v>
      </c>
      <c r="O34" s="4" t="s">
        <v>23</v>
      </c>
      <c r="P34" s="4" t="s">
        <v>6</v>
      </c>
      <c r="Q34" s="4"/>
    </row>
    <row r="35" spans="1:17" ht="17.25">
      <c r="A35" s="4">
        <f t="shared" si="2"/>
        <v>34</v>
      </c>
      <c r="B35" s="15" t="s">
        <v>71</v>
      </c>
      <c r="C35" s="4" t="s">
        <v>12</v>
      </c>
      <c r="D35" s="4">
        <v>1988</v>
      </c>
      <c r="E35" s="4">
        <f t="shared" si="4"/>
        <v>37</v>
      </c>
      <c r="F35" s="4">
        <v>874747717</v>
      </c>
      <c r="G35" s="6" t="s">
        <v>13</v>
      </c>
      <c r="H35" s="6" t="s">
        <v>13</v>
      </c>
      <c r="I35" s="6" t="s">
        <v>13</v>
      </c>
      <c r="J35" s="4"/>
      <c r="K35" s="7">
        <v>500000</v>
      </c>
      <c r="L35" s="8">
        <v>0.09</v>
      </c>
      <c r="M35" s="4" t="s">
        <v>72</v>
      </c>
      <c r="N35" s="5" t="s">
        <v>27</v>
      </c>
      <c r="O35" s="4" t="s">
        <v>23</v>
      </c>
      <c r="P35" s="4" t="s">
        <v>6</v>
      </c>
      <c r="Q35" s="4"/>
    </row>
    <row r="36" spans="1:17" ht="17.25">
      <c r="A36" s="4">
        <f t="shared" si="2"/>
        <v>35</v>
      </c>
      <c r="B36" s="15" t="s">
        <v>73</v>
      </c>
      <c r="C36" s="4" t="s">
        <v>12</v>
      </c>
      <c r="D36" s="4">
        <v>1997</v>
      </c>
      <c r="E36" s="4">
        <f t="shared" si="4"/>
        <v>28</v>
      </c>
      <c r="F36" s="4">
        <v>867485521</v>
      </c>
      <c r="G36" s="6" t="s">
        <v>13</v>
      </c>
      <c r="H36" s="6" t="s">
        <v>13</v>
      </c>
      <c r="I36" s="6" t="s">
        <v>13</v>
      </c>
      <c r="J36" s="4"/>
      <c r="K36" s="7">
        <v>150000</v>
      </c>
      <c r="L36" s="8">
        <v>0.09</v>
      </c>
      <c r="M36" s="4" t="s">
        <v>74</v>
      </c>
      <c r="N36" s="5" t="s">
        <v>27</v>
      </c>
      <c r="O36" s="4" t="s">
        <v>23</v>
      </c>
      <c r="P36" s="4" t="s">
        <v>6</v>
      </c>
      <c r="Q36" s="4"/>
    </row>
    <row r="37" spans="1:17" ht="17.25">
      <c r="A37" s="4">
        <f t="shared" si="2"/>
        <v>36</v>
      </c>
      <c r="B37" s="15" t="s">
        <v>75</v>
      </c>
      <c r="C37" s="4" t="s">
        <v>12</v>
      </c>
      <c r="D37" s="4">
        <v>1984</v>
      </c>
      <c r="E37" s="4">
        <f t="shared" si="4"/>
        <v>41</v>
      </c>
      <c r="F37" s="4">
        <v>864085471</v>
      </c>
      <c r="G37" s="6" t="s">
        <v>13</v>
      </c>
      <c r="H37" s="6" t="s">
        <v>13</v>
      </c>
      <c r="I37" s="6" t="s">
        <v>13</v>
      </c>
      <c r="J37" s="4"/>
      <c r="K37" s="7">
        <v>500000</v>
      </c>
      <c r="L37" s="8">
        <v>0.09</v>
      </c>
      <c r="M37" s="4" t="s">
        <v>76</v>
      </c>
      <c r="N37" s="5" t="s">
        <v>77</v>
      </c>
      <c r="O37" s="4" t="s">
        <v>23</v>
      </c>
      <c r="P37" s="4" t="s">
        <v>6</v>
      </c>
      <c r="Q37" s="4" t="s">
        <v>56</v>
      </c>
    </row>
    <row r="38" spans="1:17" ht="17.25">
      <c r="A38" s="4">
        <f t="shared" ref="A38:A69" si="5">A37+1</f>
        <v>37</v>
      </c>
      <c r="B38" s="15" t="s">
        <v>78</v>
      </c>
      <c r="C38" s="4" t="s">
        <v>12</v>
      </c>
      <c r="D38" s="4">
        <v>1980</v>
      </c>
      <c r="E38" s="4">
        <f t="shared" si="4"/>
        <v>45</v>
      </c>
      <c r="F38" s="4">
        <v>876198233</v>
      </c>
      <c r="G38" s="6" t="s">
        <v>13</v>
      </c>
      <c r="H38" s="6" t="s">
        <v>13</v>
      </c>
      <c r="I38" s="6" t="s">
        <v>13</v>
      </c>
      <c r="J38" s="4"/>
      <c r="K38" s="7">
        <v>300000</v>
      </c>
      <c r="L38" s="8">
        <v>0.09</v>
      </c>
      <c r="M38" s="4" t="s">
        <v>92</v>
      </c>
      <c r="N38" s="5" t="s">
        <v>27</v>
      </c>
      <c r="O38" s="4" t="s">
        <v>23</v>
      </c>
      <c r="P38" s="4" t="s">
        <v>6</v>
      </c>
      <c r="Q38" s="4" t="s">
        <v>56</v>
      </c>
    </row>
    <row r="39" spans="1:17" ht="17.25">
      <c r="A39" s="4">
        <f t="shared" si="5"/>
        <v>38</v>
      </c>
      <c r="B39" s="15" t="s">
        <v>475</v>
      </c>
      <c r="C39" s="4" t="s">
        <v>12</v>
      </c>
      <c r="D39" s="4">
        <v>1988</v>
      </c>
      <c r="E39" s="4">
        <f t="shared" si="4"/>
        <v>37</v>
      </c>
      <c r="F39" s="4">
        <v>862677836</v>
      </c>
      <c r="G39" s="6" t="s">
        <v>13</v>
      </c>
      <c r="H39" s="6" t="s">
        <v>13</v>
      </c>
      <c r="I39" s="6" t="s">
        <v>13</v>
      </c>
      <c r="J39" s="4"/>
      <c r="K39" s="7">
        <v>300000</v>
      </c>
      <c r="L39" s="8">
        <v>0.09</v>
      </c>
      <c r="M39" s="4" t="s">
        <v>92</v>
      </c>
      <c r="N39" s="5" t="s">
        <v>27</v>
      </c>
      <c r="O39" s="4" t="s">
        <v>23</v>
      </c>
      <c r="P39" s="4" t="s">
        <v>6</v>
      </c>
      <c r="Q39" s="4" t="s">
        <v>56</v>
      </c>
    </row>
    <row r="40" spans="1:17" ht="17.25">
      <c r="A40" s="4">
        <f t="shared" si="5"/>
        <v>39</v>
      </c>
      <c r="B40" s="4" t="s">
        <v>79</v>
      </c>
      <c r="C40" s="4" t="s">
        <v>12</v>
      </c>
      <c r="D40" s="4">
        <v>1984</v>
      </c>
      <c r="E40" s="4">
        <f t="shared" si="4"/>
        <v>41</v>
      </c>
      <c r="F40" s="4">
        <v>872989719</v>
      </c>
      <c r="G40" s="6" t="s">
        <v>13</v>
      </c>
      <c r="H40" s="6" t="s">
        <v>13</v>
      </c>
      <c r="I40" s="6" t="s">
        <v>13</v>
      </c>
      <c r="J40" s="4"/>
      <c r="K40" s="7">
        <v>334375</v>
      </c>
      <c r="L40" s="8">
        <v>0.09</v>
      </c>
      <c r="M40" s="4" t="s">
        <v>72</v>
      </c>
      <c r="N40" s="5" t="s">
        <v>27</v>
      </c>
      <c r="O40" s="4" t="s">
        <v>23</v>
      </c>
      <c r="P40" s="4" t="s">
        <v>6</v>
      </c>
      <c r="Q40" s="4" t="s">
        <v>56</v>
      </c>
    </row>
    <row r="41" spans="1:17" ht="17.25">
      <c r="A41" s="4">
        <f t="shared" si="5"/>
        <v>40</v>
      </c>
      <c r="B41" s="15" t="s">
        <v>81</v>
      </c>
      <c r="C41" s="4" t="s">
        <v>12</v>
      </c>
      <c r="D41" s="4">
        <v>1967</v>
      </c>
      <c r="E41" s="4">
        <f t="shared" si="4"/>
        <v>58</v>
      </c>
      <c r="F41" s="4">
        <v>868718699</v>
      </c>
      <c r="G41" s="6" t="s">
        <v>13</v>
      </c>
      <c r="H41" s="6" t="s">
        <v>13</v>
      </c>
      <c r="I41" s="6" t="s">
        <v>13</v>
      </c>
      <c r="J41" s="4">
        <v>2</v>
      </c>
      <c r="K41" s="7">
        <v>100000</v>
      </c>
      <c r="L41" s="8">
        <v>0.09</v>
      </c>
      <c r="M41" s="4" t="s">
        <v>82</v>
      </c>
      <c r="N41" s="5" t="s">
        <v>27</v>
      </c>
      <c r="O41" s="4" t="s">
        <v>23</v>
      </c>
      <c r="P41" s="4" t="s">
        <v>6</v>
      </c>
      <c r="Q41" s="4"/>
    </row>
    <row r="42" spans="1:17" ht="17.25">
      <c r="A42" s="4">
        <f t="shared" si="5"/>
        <v>41</v>
      </c>
      <c r="B42" s="16" t="s">
        <v>440</v>
      </c>
      <c r="C42" s="4" t="s">
        <v>12</v>
      </c>
      <c r="D42" s="4">
        <v>1989</v>
      </c>
      <c r="E42" s="4">
        <f t="shared" si="4"/>
        <v>36</v>
      </c>
      <c r="F42" s="4">
        <v>848912345</v>
      </c>
      <c r="G42" s="6" t="s">
        <v>13</v>
      </c>
      <c r="H42" s="6" t="s">
        <v>13</v>
      </c>
      <c r="I42" s="6" t="s">
        <v>13</v>
      </c>
      <c r="J42" s="4"/>
      <c r="K42" s="7">
        <v>300000</v>
      </c>
      <c r="L42" s="8">
        <v>0.09</v>
      </c>
      <c r="M42" s="4" t="s">
        <v>83</v>
      </c>
      <c r="N42" s="5" t="s">
        <v>84</v>
      </c>
      <c r="O42" s="4" t="s">
        <v>23</v>
      </c>
      <c r="P42" s="4" t="s">
        <v>6</v>
      </c>
      <c r="Q42" s="4"/>
    </row>
    <row r="43" spans="1:17" ht="17.25">
      <c r="A43" s="4">
        <f t="shared" si="5"/>
        <v>42</v>
      </c>
      <c r="B43" s="4" t="s">
        <v>85</v>
      </c>
      <c r="C43" s="4" t="s">
        <v>12</v>
      </c>
      <c r="D43" s="4">
        <v>1998</v>
      </c>
      <c r="E43" s="4">
        <f t="shared" si="4"/>
        <v>27</v>
      </c>
      <c r="F43" s="4">
        <v>861744462</v>
      </c>
      <c r="G43" s="6" t="s">
        <v>13</v>
      </c>
      <c r="H43" s="6" t="s">
        <v>13</v>
      </c>
      <c r="I43" s="6" t="s">
        <v>13</v>
      </c>
      <c r="J43" s="4"/>
      <c r="K43" s="7">
        <v>150000</v>
      </c>
      <c r="L43" s="8">
        <v>0.09</v>
      </c>
      <c r="M43" s="4" t="s">
        <v>386</v>
      </c>
      <c r="N43" s="5" t="s">
        <v>387</v>
      </c>
      <c r="O43" s="4" t="s">
        <v>23</v>
      </c>
      <c r="P43" s="4" t="s">
        <v>6</v>
      </c>
      <c r="Q43" s="4"/>
    </row>
    <row r="44" spans="1:17" ht="17.25">
      <c r="A44" s="4">
        <f t="shared" si="5"/>
        <v>43</v>
      </c>
      <c r="B44" s="4" t="s">
        <v>172</v>
      </c>
      <c r="C44" s="4" t="s">
        <v>12</v>
      </c>
      <c r="D44" s="4">
        <v>1990</v>
      </c>
      <c r="E44" s="4">
        <f t="shared" si="4"/>
        <v>35</v>
      </c>
      <c r="F44" s="4">
        <v>862779658</v>
      </c>
      <c r="G44" s="6" t="s">
        <v>13</v>
      </c>
      <c r="H44" s="6" t="s">
        <v>13</v>
      </c>
      <c r="I44" s="6" t="s">
        <v>13</v>
      </c>
      <c r="J44" s="4"/>
      <c r="K44" s="7">
        <v>250000</v>
      </c>
      <c r="L44" s="8">
        <v>0.09</v>
      </c>
      <c r="M44" s="4" t="s">
        <v>86</v>
      </c>
      <c r="N44" s="5" t="s">
        <v>27</v>
      </c>
      <c r="O44" s="4" t="s">
        <v>23</v>
      </c>
      <c r="P44" s="4" t="s">
        <v>6</v>
      </c>
      <c r="Q44" s="4"/>
    </row>
    <row r="45" spans="1:17" ht="17.25">
      <c r="A45" s="4">
        <f t="shared" si="5"/>
        <v>44</v>
      </c>
      <c r="B45" s="4" t="s">
        <v>87</v>
      </c>
      <c r="C45" s="4" t="s">
        <v>12</v>
      </c>
      <c r="D45" s="4">
        <v>1992</v>
      </c>
      <c r="E45" s="4">
        <f t="shared" si="4"/>
        <v>33</v>
      </c>
      <c r="F45" s="4">
        <v>872131219</v>
      </c>
      <c r="G45" s="6" t="s">
        <v>13</v>
      </c>
      <c r="H45" s="6" t="s">
        <v>13</v>
      </c>
      <c r="I45" s="6" t="s">
        <v>13</v>
      </c>
      <c r="J45" s="4"/>
      <c r="K45" s="7">
        <v>400000</v>
      </c>
      <c r="L45" s="8">
        <v>0.09</v>
      </c>
      <c r="M45" s="4" t="s">
        <v>88</v>
      </c>
      <c r="N45" s="5" t="s">
        <v>77</v>
      </c>
      <c r="O45" s="4" t="s">
        <v>23</v>
      </c>
      <c r="P45" s="4" t="s">
        <v>6</v>
      </c>
      <c r="Q45" s="4"/>
    </row>
    <row r="46" spans="1:17" ht="17.25">
      <c r="A46" s="4">
        <f t="shared" si="5"/>
        <v>45</v>
      </c>
      <c r="B46" s="4" t="s">
        <v>361</v>
      </c>
      <c r="C46" s="4" t="s">
        <v>12</v>
      </c>
      <c r="D46" s="4">
        <v>1986</v>
      </c>
      <c r="E46" s="4">
        <f t="shared" si="4"/>
        <v>39</v>
      </c>
      <c r="F46" s="4">
        <v>861473903</v>
      </c>
      <c r="G46" s="6" t="s">
        <v>13</v>
      </c>
      <c r="H46" s="6" t="s">
        <v>13</v>
      </c>
      <c r="I46" s="6" t="s">
        <v>13</v>
      </c>
      <c r="J46" s="4">
        <v>3</v>
      </c>
      <c r="K46" s="7">
        <v>169400</v>
      </c>
      <c r="L46" s="8">
        <v>0.09</v>
      </c>
      <c r="M46" s="4" t="s">
        <v>386</v>
      </c>
      <c r="N46" s="5" t="s">
        <v>387</v>
      </c>
      <c r="O46" s="4" t="s">
        <v>23</v>
      </c>
      <c r="P46" s="4" t="s">
        <v>6</v>
      </c>
      <c r="Q46" s="4"/>
    </row>
    <row r="47" spans="1:17" ht="17.25">
      <c r="A47" s="4">
        <f t="shared" si="5"/>
        <v>46</v>
      </c>
      <c r="B47" s="4" t="s">
        <v>437</v>
      </c>
      <c r="C47" s="4" t="s">
        <v>12</v>
      </c>
      <c r="D47" s="4">
        <v>1953</v>
      </c>
      <c r="E47" s="4">
        <f t="shared" si="4"/>
        <v>72</v>
      </c>
      <c r="F47" s="4">
        <v>862302372</v>
      </c>
      <c r="G47" s="6" t="s">
        <v>13</v>
      </c>
      <c r="H47" s="6" t="s">
        <v>25</v>
      </c>
      <c r="I47" s="6" t="s">
        <v>13</v>
      </c>
      <c r="J47" s="4">
        <v>2</v>
      </c>
      <c r="K47" s="7">
        <v>300000</v>
      </c>
      <c r="L47" s="8">
        <v>0.09</v>
      </c>
      <c r="M47" s="4" t="s">
        <v>92</v>
      </c>
      <c r="N47" s="5" t="s">
        <v>27</v>
      </c>
      <c r="O47" s="4" t="s">
        <v>53</v>
      </c>
      <c r="P47" s="4" t="s">
        <v>7</v>
      </c>
      <c r="Q47" s="4" t="s">
        <v>443</v>
      </c>
    </row>
    <row r="48" spans="1:17" ht="17.25">
      <c r="A48" s="4">
        <f t="shared" si="5"/>
        <v>47</v>
      </c>
      <c r="B48" s="4" t="s">
        <v>89</v>
      </c>
      <c r="C48" s="4" t="s">
        <v>12</v>
      </c>
      <c r="D48" s="4">
        <v>1985</v>
      </c>
      <c r="E48" s="4">
        <f t="shared" si="4"/>
        <v>40</v>
      </c>
      <c r="F48" s="4">
        <v>865653766</v>
      </c>
      <c r="G48" s="6" t="s">
        <v>13</v>
      </c>
      <c r="H48" s="6" t="s">
        <v>13</v>
      </c>
      <c r="I48" s="6" t="s">
        <v>13</v>
      </c>
      <c r="J48" s="4"/>
      <c r="K48" s="7">
        <v>250000</v>
      </c>
      <c r="L48" s="8">
        <v>0.09</v>
      </c>
      <c r="M48" s="4" t="s">
        <v>90</v>
      </c>
      <c r="N48" s="5" t="s">
        <v>77</v>
      </c>
      <c r="O48" s="4" t="s">
        <v>23</v>
      </c>
      <c r="P48" s="4" t="s">
        <v>6</v>
      </c>
      <c r="Q48" s="4"/>
    </row>
    <row r="49" spans="1:17" ht="17.25">
      <c r="A49" s="4">
        <f t="shared" si="5"/>
        <v>48</v>
      </c>
      <c r="B49" s="15" t="s">
        <v>428</v>
      </c>
      <c r="C49" s="4" t="s">
        <v>12</v>
      </c>
      <c r="D49" s="4">
        <v>1998</v>
      </c>
      <c r="E49" s="4">
        <f t="shared" si="4"/>
        <v>27</v>
      </c>
      <c r="F49" s="4">
        <v>873393588</v>
      </c>
      <c r="G49" s="6" t="s">
        <v>13</v>
      </c>
      <c r="H49" s="6" t="s">
        <v>13</v>
      </c>
      <c r="I49" s="6" t="s">
        <v>13</v>
      </c>
      <c r="J49" s="4"/>
      <c r="K49" s="7">
        <v>150000</v>
      </c>
      <c r="L49" s="8">
        <v>0.09</v>
      </c>
      <c r="M49" s="4" t="s">
        <v>92</v>
      </c>
      <c r="N49" s="5" t="s">
        <v>27</v>
      </c>
      <c r="O49" s="4" t="s">
        <v>23</v>
      </c>
      <c r="P49" s="4" t="s">
        <v>6</v>
      </c>
      <c r="Q49" s="4" t="s">
        <v>91</v>
      </c>
    </row>
    <row r="50" spans="1:17" ht="17.25">
      <c r="A50" s="4">
        <f t="shared" si="5"/>
        <v>49</v>
      </c>
      <c r="B50" s="4" t="s">
        <v>93</v>
      </c>
      <c r="C50" s="4" t="s">
        <v>12</v>
      </c>
      <c r="D50" s="4">
        <v>1985</v>
      </c>
      <c r="E50" s="4">
        <f t="shared" si="4"/>
        <v>40</v>
      </c>
      <c r="F50" s="4">
        <v>860624686</v>
      </c>
      <c r="G50" s="6" t="s">
        <v>25</v>
      </c>
      <c r="H50" s="6" t="s">
        <v>13</v>
      </c>
      <c r="I50" s="6" t="s">
        <v>13</v>
      </c>
      <c r="J50" s="4"/>
      <c r="K50" s="7">
        <v>70000</v>
      </c>
      <c r="L50" s="8">
        <v>0.09</v>
      </c>
      <c r="M50" s="4" t="s">
        <v>94</v>
      </c>
      <c r="N50" s="5" t="s">
        <v>95</v>
      </c>
      <c r="O50" s="4" t="s">
        <v>23</v>
      </c>
      <c r="P50" s="4" t="s">
        <v>7</v>
      </c>
      <c r="Q50" s="4" t="s">
        <v>65</v>
      </c>
    </row>
    <row r="51" spans="1:17" ht="17.25">
      <c r="A51" s="4">
        <f t="shared" si="5"/>
        <v>50</v>
      </c>
      <c r="B51" s="4" t="s">
        <v>133</v>
      </c>
      <c r="C51" s="4" t="s">
        <v>12</v>
      </c>
      <c r="D51" s="4">
        <v>1997</v>
      </c>
      <c r="E51" s="4">
        <f t="shared" si="4"/>
        <v>28</v>
      </c>
      <c r="F51" s="4">
        <v>863551561</v>
      </c>
      <c r="G51" s="6" t="s">
        <v>13</v>
      </c>
      <c r="H51" s="6" t="s">
        <v>13</v>
      </c>
      <c r="I51" s="6" t="s">
        <v>13</v>
      </c>
      <c r="J51" s="4"/>
      <c r="K51" s="7">
        <v>960000</v>
      </c>
      <c r="L51" s="8">
        <v>0.09</v>
      </c>
      <c r="M51" s="4" t="s">
        <v>96</v>
      </c>
      <c r="N51" s="5" t="s">
        <v>77</v>
      </c>
      <c r="O51" s="4" t="s">
        <v>23</v>
      </c>
      <c r="P51" s="4" t="s">
        <v>6</v>
      </c>
      <c r="Q51" s="4"/>
    </row>
    <row r="52" spans="1:17" ht="17.25">
      <c r="A52" s="4">
        <f t="shared" si="5"/>
        <v>51</v>
      </c>
      <c r="B52" s="15" t="s">
        <v>438</v>
      </c>
      <c r="C52" s="4" t="s">
        <v>97</v>
      </c>
      <c r="D52" s="4">
        <v>1985</v>
      </c>
      <c r="E52" s="4">
        <f t="shared" si="4"/>
        <v>40</v>
      </c>
      <c r="F52" s="4">
        <v>862167178</v>
      </c>
      <c r="G52" s="6" t="s">
        <v>13</v>
      </c>
      <c r="H52" s="6" t="s">
        <v>13</v>
      </c>
      <c r="I52" s="6" t="s">
        <v>13</v>
      </c>
      <c r="J52" s="4"/>
      <c r="K52" s="7">
        <v>1500000</v>
      </c>
      <c r="L52" s="8">
        <v>0.09</v>
      </c>
      <c r="M52" s="4" t="s">
        <v>98</v>
      </c>
      <c r="N52" s="5" t="s">
        <v>27</v>
      </c>
      <c r="O52" s="4" t="s">
        <v>23</v>
      </c>
      <c r="P52" s="4" t="s">
        <v>7</v>
      </c>
      <c r="Q52" s="4" t="s">
        <v>450</v>
      </c>
    </row>
    <row r="53" spans="1:17" ht="17.25">
      <c r="A53" s="4">
        <f t="shared" si="5"/>
        <v>52</v>
      </c>
      <c r="B53" s="15" t="s">
        <v>99</v>
      </c>
      <c r="C53" s="4" t="s">
        <v>97</v>
      </c>
      <c r="D53" s="4">
        <v>1981</v>
      </c>
      <c r="E53" s="4">
        <f t="shared" si="4"/>
        <v>44</v>
      </c>
      <c r="F53" s="4">
        <v>878906365</v>
      </c>
      <c r="G53" s="6" t="s">
        <v>13</v>
      </c>
      <c r="H53" s="6" t="s">
        <v>13</v>
      </c>
      <c r="I53" s="6" t="s">
        <v>13</v>
      </c>
      <c r="J53" s="4"/>
      <c r="K53" s="7">
        <v>500000</v>
      </c>
      <c r="L53" s="8">
        <v>0.09</v>
      </c>
      <c r="M53" s="4" t="s">
        <v>100</v>
      </c>
      <c r="N53" s="5" t="s">
        <v>27</v>
      </c>
      <c r="O53" s="4" t="s">
        <v>23</v>
      </c>
      <c r="P53" s="4" t="s">
        <v>6</v>
      </c>
      <c r="Q53" s="4" t="s">
        <v>448</v>
      </c>
    </row>
    <row r="54" spans="1:17" ht="17.25">
      <c r="A54" s="4">
        <f t="shared" si="5"/>
        <v>53</v>
      </c>
      <c r="B54" s="4" t="s">
        <v>102</v>
      </c>
      <c r="C54" s="4" t="s">
        <v>97</v>
      </c>
      <c r="D54" s="4">
        <v>1973</v>
      </c>
      <c r="E54" s="4">
        <f t="shared" si="4"/>
        <v>52</v>
      </c>
      <c r="F54" s="4">
        <v>871769990</v>
      </c>
      <c r="G54" s="6" t="s">
        <v>13</v>
      </c>
      <c r="H54" s="6" t="s">
        <v>13</v>
      </c>
      <c r="I54" s="6" t="s">
        <v>13</v>
      </c>
      <c r="J54" s="4"/>
      <c r="K54" s="7">
        <v>1223800</v>
      </c>
      <c r="L54" s="8">
        <v>0.09</v>
      </c>
      <c r="M54" s="4" t="s">
        <v>427</v>
      </c>
      <c r="N54" s="5" t="s">
        <v>19</v>
      </c>
      <c r="O54" s="4" t="s">
        <v>23</v>
      </c>
      <c r="P54" s="4" t="s">
        <v>6</v>
      </c>
      <c r="Q54" s="4"/>
    </row>
    <row r="55" spans="1:17" ht="17.25">
      <c r="A55" s="4">
        <f t="shared" si="5"/>
        <v>54</v>
      </c>
      <c r="B55" s="4" t="s">
        <v>103</v>
      </c>
      <c r="C55" s="4" t="s">
        <v>12</v>
      </c>
      <c r="D55" s="4">
        <v>1973</v>
      </c>
      <c r="E55" s="4">
        <f t="shared" si="4"/>
        <v>52</v>
      </c>
      <c r="F55" s="4">
        <v>864098525</v>
      </c>
      <c r="G55" s="6" t="s">
        <v>13</v>
      </c>
      <c r="H55" s="6" t="s">
        <v>13</v>
      </c>
      <c r="I55" s="6" t="s">
        <v>13</v>
      </c>
      <c r="J55" s="4"/>
      <c r="K55" s="7">
        <v>1650000</v>
      </c>
      <c r="L55" s="8">
        <v>0.09</v>
      </c>
      <c r="M55" s="4" t="s">
        <v>426</v>
      </c>
      <c r="N55" s="5" t="s">
        <v>19</v>
      </c>
      <c r="O55" s="4" t="s">
        <v>23</v>
      </c>
      <c r="P55" s="4" t="s">
        <v>104</v>
      </c>
      <c r="Q55" s="4"/>
    </row>
    <row r="56" spans="1:17" ht="17.25">
      <c r="A56" s="4">
        <f t="shared" si="5"/>
        <v>55</v>
      </c>
      <c r="B56" s="4" t="s">
        <v>105</v>
      </c>
      <c r="C56" s="4" t="s">
        <v>12</v>
      </c>
      <c r="D56" s="4">
        <v>1985</v>
      </c>
      <c r="E56" s="4">
        <f t="shared" si="4"/>
        <v>40</v>
      </c>
      <c r="F56" s="4">
        <v>879231570</v>
      </c>
      <c r="G56" s="6" t="s">
        <v>13</v>
      </c>
      <c r="H56" s="6" t="s">
        <v>13</v>
      </c>
      <c r="I56" s="6" t="s">
        <v>13</v>
      </c>
      <c r="J56" s="4"/>
      <c r="K56" s="7">
        <v>1000000</v>
      </c>
      <c r="L56" s="8">
        <v>0.09</v>
      </c>
      <c r="M56" s="4" t="s">
        <v>94</v>
      </c>
      <c r="N56" s="5" t="s">
        <v>27</v>
      </c>
      <c r="O56" s="4" t="s">
        <v>23</v>
      </c>
      <c r="P56" s="4" t="s">
        <v>104</v>
      </c>
      <c r="Q56" s="4" t="s">
        <v>91</v>
      </c>
    </row>
    <row r="57" spans="1:17" ht="17.25">
      <c r="A57" s="4">
        <f t="shared" si="5"/>
        <v>56</v>
      </c>
      <c r="B57" s="4" t="s">
        <v>106</v>
      </c>
      <c r="C57" s="4" t="s">
        <v>12</v>
      </c>
      <c r="D57" s="4">
        <v>1989</v>
      </c>
      <c r="E57" s="4">
        <f t="shared" si="4"/>
        <v>36</v>
      </c>
      <c r="F57" s="4">
        <v>866266231</v>
      </c>
      <c r="G57" s="6" t="s">
        <v>13</v>
      </c>
      <c r="H57" s="6" t="s">
        <v>13</v>
      </c>
      <c r="I57" s="6" t="s">
        <v>13</v>
      </c>
      <c r="J57" s="4"/>
      <c r="K57" s="7">
        <v>300000</v>
      </c>
      <c r="L57" s="8">
        <v>0.09</v>
      </c>
      <c r="M57" s="4" t="s">
        <v>94</v>
      </c>
      <c r="N57" s="5" t="s">
        <v>27</v>
      </c>
      <c r="O57" s="4" t="s">
        <v>23</v>
      </c>
      <c r="P57" s="4" t="s">
        <v>6</v>
      </c>
      <c r="Q57" s="4"/>
    </row>
    <row r="58" spans="1:17" ht="17.25">
      <c r="A58" s="4">
        <f t="shared" si="5"/>
        <v>57</v>
      </c>
      <c r="B58" s="4" t="s">
        <v>107</v>
      </c>
      <c r="C58" s="4" t="s">
        <v>12</v>
      </c>
      <c r="D58" s="4">
        <v>1973</v>
      </c>
      <c r="E58" s="4">
        <f t="shared" si="4"/>
        <v>52</v>
      </c>
      <c r="F58" s="4">
        <v>861291346</v>
      </c>
      <c r="G58" s="6" t="s">
        <v>13</v>
      </c>
      <c r="H58" s="6" t="s">
        <v>13</v>
      </c>
      <c r="I58" s="6" t="s">
        <v>13</v>
      </c>
      <c r="J58" s="4"/>
      <c r="K58" s="7">
        <v>1000000</v>
      </c>
      <c r="L58" s="8">
        <v>0.09</v>
      </c>
      <c r="M58" s="4" t="s">
        <v>94</v>
      </c>
      <c r="N58" s="5" t="s">
        <v>27</v>
      </c>
      <c r="O58" s="4" t="s">
        <v>23</v>
      </c>
      <c r="P58" s="4" t="s">
        <v>6</v>
      </c>
      <c r="Q58" s="4"/>
    </row>
    <row r="59" spans="1:17" ht="17.25">
      <c r="A59" s="4">
        <f t="shared" si="5"/>
        <v>58</v>
      </c>
      <c r="B59" s="4" t="s">
        <v>108</v>
      </c>
      <c r="C59" s="4" t="s">
        <v>12</v>
      </c>
      <c r="D59" s="4">
        <v>1968</v>
      </c>
      <c r="E59" s="4">
        <f t="shared" si="4"/>
        <v>57</v>
      </c>
      <c r="F59" s="4">
        <v>861567991</v>
      </c>
      <c r="G59" s="6" t="s">
        <v>13</v>
      </c>
      <c r="H59" s="6" t="s">
        <v>13</v>
      </c>
      <c r="I59" s="6" t="s">
        <v>13</v>
      </c>
      <c r="J59" s="4"/>
      <c r="K59" s="7">
        <v>700000</v>
      </c>
      <c r="L59" s="8">
        <v>0.09</v>
      </c>
      <c r="M59" s="4" t="s">
        <v>109</v>
      </c>
      <c r="N59" s="5" t="s">
        <v>27</v>
      </c>
      <c r="O59" s="4" t="s">
        <v>23</v>
      </c>
      <c r="P59" s="4" t="s">
        <v>6</v>
      </c>
      <c r="Q59" s="4" t="s">
        <v>80</v>
      </c>
    </row>
    <row r="60" spans="1:17" ht="17.25">
      <c r="A60" s="4">
        <f t="shared" si="5"/>
        <v>59</v>
      </c>
      <c r="B60" s="4" t="s">
        <v>110</v>
      </c>
      <c r="C60" s="4" t="s">
        <v>12</v>
      </c>
      <c r="D60" s="4">
        <v>1991</v>
      </c>
      <c r="E60" s="4">
        <f t="shared" si="4"/>
        <v>34</v>
      </c>
      <c r="F60" s="4">
        <v>873633510</v>
      </c>
      <c r="G60" s="6" t="s">
        <v>13</v>
      </c>
      <c r="H60" s="6" t="s">
        <v>13</v>
      </c>
      <c r="I60" s="6" t="s">
        <v>13</v>
      </c>
      <c r="J60" s="4"/>
      <c r="K60" s="7">
        <v>500000</v>
      </c>
      <c r="L60" s="8">
        <v>0.09</v>
      </c>
      <c r="M60" s="4" t="s">
        <v>98</v>
      </c>
      <c r="N60" s="5" t="s">
        <v>27</v>
      </c>
      <c r="O60" s="4" t="s">
        <v>23</v>
      </c>
      <c r="P60" s="4" t="s">
        <v>6</v>
      </c>
      <c r="Q60" s="4"/>
    </row>
    <row r="61" spans="1:17" ht="17.25">
      <c r="A61" s="4">
        <f t="shared" si="5"/>
        <v>60</v>
      </c>
      <c r="B61" s="15" t="s">
        <v>463</v>
      </c>
      <c r="C61" s="4" t="s">
        <v>12</v>
      </c>
      <c r="D61" s="4">
        <v>1986</v>
      </c>
      <c r="E61" s="4">
        <f t="shared" si="4"/>
        <v>39</v>
      </c>
      <c r="F61" s="4">
        <v>849001740</v>
      </c>
      <c r="G61" s="6" t="s">
        <v>13</v>
      </c>
      <c r="H61" s="6" t="s">
        <v>25</v>
      </c>
      <c r="I61" s="6" t="s">
        <v>13</v>
      </c>
      <c r="J61" s="4"/>
      <c r="K61" s="7">
        <v>650000</v>
      </c>
      <c r="L61" s="8">
        <v>0.09</v>
      </c>
      <c r="M61" s="4" t="s">
        <v>62</v>
      </c>
      <c r="N61" s="5" t="s">
        <v>27</v>
      </c>
      <c r="O61" s="4" t="s">
        <v>23</v>
      </c>
      <c r="P61" s="4" t="s">
        <v>7</v>
      </c>
      <c r="Q61" s="4" t="s">
        <v>131</v>
      </c>
    </row>
    <row r="62" spans="1:17" ht="17.25">
      <c r="A62" s="4">
        <f t="shared" si="5"/>
        <v>61</v>
      </c>
      <c r="B62" s="4" t="s">
        <v>111</v>
      </c>
      <c r="C62" s="4" t="s">
        <v>12</v>
      </c>
      <c r="D62" s="4">
        <v>1990</v>
      </c>
      <c r="E62" s="4">
        <f t="shared" si="4"/>
        <v>35</v>
      </c>
      <c r="F62" s="4">
        <v>867445037</v>
      </c>
      <c r="G62" s="6" t="s">
        <v>13</v>
      </c>
      <c r="H62" s="6" t="s">
        <v>13</v>
      </c>
      <c r="I62" s="6" t="s">
        <v>13</v>
      </c>
      <c r="J62" s="4"/>
      <c r="K62" s="7">
        <v>160000</v>
      </c>
      <c r="L62" s="8">
        <v>0.09</v>
      </c>
      <c r="M62" s="4" t="s">
        <v>94</v>
      </c>
      <c r="N62" s="5" t="s">
        <v>27</v>
      </c>
      <c r="O62" s="4" t="s">
        <v>23</v>
      </c>
      <c r="P62" s="4" t="s">
        <v>6</v>
      </c>
      <c r="Q62" s="4"/>
    </row>
    <row r="63" spans="1:17" ht="17.25">
      <c r="A63" s="4">
        <f t="shared" si="5"/>
        <v>62</v>
      </c>
      <c r="B63" s="15" t="s">
        <v>112</v>
      </c>
      <c r="C63" s="4" t="s">
        <v>12</v>
      </c>
      <c r="D63" s="4">
        <v>1992</v>
      </c>
      <c r="E63" s="4">
        <f t="shared" si="4"/>
        <v>33</v>
      </c>
      <c r="F63" s="4">
        <v>873502807</v>
      </c>
      <c r="G63" s="6" t="s">
        <v>13</v>
      </c>
      <c r="H63" s="6" t="s">
        <v>13</v>
      </c>
      <c r="I63" s="6" t="s">
        <v>13</v>
      </c>
      <c r="J63" s="4"/>
      <c r="K63" s="7">
        <v>350000</v>
      </c>
      <c r="L63" s="8">
        <v>0.09</v>
      </c>
      <c r="M63" s="4" t="s">
        <v>94</v>
      </c>
      <c r="N63" s="5" t="s">
        <v>27</v>
      </c>
      <c r="O63" s="4" t="s">
        <v>23</v>
      </c>
      <c r="P63" s="4" t="s">
        <v>6</v>
      </c>
      <c r="Q63" s="4" t="s">
        <v>384</v>
      </c>
    </row>
    <row r="64" spans="1:17" ht="17.25">
      <c r="A64" s="4">
        <f t="shared" si="5"/>
        <v>63</v>
      </c>
      <c r="B64" s="15" t="s">
        <v>113</v>
      </c>
      <c r="C64" s="4" t="s">
        <v>97</v>
      </c>
      <c r="D64" s="4">
        <v>1986</v>
      </c>
      <c r="E64" s="4">
        <f t="shared" si="4"/>
        <v>39</v>
      </c>
      <c r="F64" s="4">
        <v>868631260</v>
      </c>
      <c r="G64" s="6" t="s">
        <v>13</v>
      </c>
      <c r="H64" s="6" t="s">
        <v>13</v>
      </c>
      <c r="I64" s="6" t="s">
        <v>13</v>
      </c>
      <c r="J64" s="4"/>
      <c r="K64" s="7">
        <v>350000</v>
      </c>
      <c r="L64" s="8">
        <v>0.09</v>
      </c>
      <c r="M64" s="4" t="s">
        <v>114</v>
      </c>
      <c r="N64" s="5" t="s">
        <v>27</v>
      </c>
      <c r="O64" s="4" t="s">
        <v>23</v>
      </c>
      <c r="P64" s="4" t="s">
        <v>104</v>
      </c>
      <c r="Q64" s="4"/>
    </row>
    <row r="65" spans="1:17" ht="17.25">
      <c r="A65" s="4">
        <f t="shared" si="5"/>
        <v>64</v>
      </c>
      <c r="B65" s="15" t="s">
        <v>467</v>
      </c>
      <c r="C65" s="4" t="s">
        <v>12</v>
      </c>
      <c r="D65" s="4">
        <v>1990</v>
      </c>
      <c r="E65" s="4">
        <f t="shared" si="4"/>
        <v>35</v>
      </c>
      <c r="F65" s="4">
        <v>861257470</v>
      </c>
      <c r="G65" s="6" t="s">
        <v>13</v>
      </c>
      <c r="H65" s="6" t="s">
        <v>13</v>
      </c>
      <c r="I65" s="6" t="s">
        <v>13</v>
      </c>
      <c r="J65" s="4"/>
      <c r="K65" s="7">
        <v>350000</v>
      </c>
      <c r="L65" s="8">
        <v>0.09</v>
      </c>
      <c r="M65" s="4" t="s">
        <v>94</v>
      </c>
      <c r="N65" s="5" t="s">
        <v>27</v>
      </c>
      <c r="O65" s="4" t="s">
        <v>23</v>
      </c>
      <c r="P65" s="4" t="s">
        <v>6</v>
      </c>
      <c r="Q65" s="4"/>
    </row>
    <row r="66" spans="1:17" ht="17.25">
      <c r="A66" s="4">
        <f t="shared" si="5"/>
        <v>65</v>
      </c>
      <c r="B66" s="15" t="s">
        <v>468</v>
      </c>
      <c r="C66" s="4" t="s">
        <v>12</v>
      </c>
      <c r="D66" s="4">
        <v>1981</v>
      </c>
      <c r="E66" s="4">
        <f t="shared" si="4"/>
        <v>44</v>
      </c>
      <c r="F66" s="4">
        <v>868258439</v>
      </c>
      <c r="G66" s="6" t="s">
        <v>13</v>
      </c>
      <c r="H66" s="6" t="s">
        <v>13</v>
      </c>
      <c r="I66" s="6" t="s">
        <v>13</v>
      </c>
      <c r="J66" s="4"/>
      <c r="K66" s="7">
        <v>800000</v>
      </c>
      <c r="L66" s="8">
        <v>0.09</v>
      </c>
      <c r="M66" s="4" t="s">
        <v>115</v>
      </c>
      <c r="N66" s="5" t="s">
        <v>27</v>
      </c>
      <c r="O66" s="4" t="s">
        <v>23</v>
      </c>
      <c r="P66" s="4" t="s">
        <v>6</v>
      </c>
      <c r="Q66" s="4"/>
    </row>
    <row r="67" spans="1:17" ht="17.25">
      <c r="A67" s="4">
        <f t="shared" si="5"/>
        <v>66</v>
      </c>
      <c r="B67" s="15" t="s">
        <v>116</v>
      </c>
      <c r="C67" s="4" t="s">
        <v>97</v>
      </c>
      <c r="D67" s="4">
        <v>1975</v>
      </c>
      <c r="E67" s="4">
        <f t="shared" si="4"/>
        <v>50</v>
      </c>
      <c r="F67" s="4">
        <v>861598284</v>
      </c>
      <c r="G67" s="6" t="s">
        <v>13</v>
      </c>
      <c r="H67" s="6" t="s">
        <v>13</v>
      </c>
      <c r="I67" s="6" t="s">
        <v>13</v>
      </c>
      <c r="J67" s="4"/>
      <c r="K67" s="7">
        <v>1100000</v>
      </c>
      <c r="L67" s="8">
        <v>0.09</v>
      </c>
      <c r="M67" s="4" t="s">
        <v>94</v>
      </c>
      <c r="N67" s="5" t="s">
        <v>27</v>
      </c>
      <c r="O67" s="4" t="s">
        <v>23</v>
      </c>
      <c r="P67" s="4" t="s">
        <v>6</v>
      </c>
      <c r="Q67" s="4"/>
    </row>
    <row r="68" spans="1:17" ht="17.25">
      <c r="A68" s="4">
        <f t="shared" si="5"/>
        <v>67</v>
      </c>
      <c r="B68" s="15" t="s">
        <v>117</v>
      </c>
      <c r="C68" s="4" t="s">
        <v>12</v>
      </c>
      <c r="D68" s="4">
        <v>1990</v>
      </c>
      <c r="E68" s="4">
        <f t="shared" si="4"/>
        <v>35</v>
      </c>
      <c r="F68" s="4">
        <v>865433645</v>
      </c>
      <c r="G68" s="6" t="s">
        <v>13</v>
      </c>
      <c r="H68" s="6" t="s">
        <v>13</v>
      </c>
      <c r="I68" s="6" t="s">
        <v>13</v>
      </c>
      <c r="J68" s="4"/>
      <c r="K68" s="7">
        <v>225000</v>
      </c>
      <c r="L68" s="8">
        <v>0.09</v>
      </c>
      <c r="M68" s="4" t="s">
        <v>118</v>
      </c>
      <c r="N68" s="5" t="s">
        <v>27</v>
      </c>
      <c r="O68" s="4" t="s">
        <v>23</v>
      </c>
      <c r="P68" s="4" t="s">
        <v>6</v>
      </c>
      <c r="Q68" s="4"/>
    </row>
    <row r="69" spans="1:17" ht="17.25">
      <c r="A69" s="4">
        <f t="shared" si="5"/>
        <v>68</v>
      </c>
      <c r="B69" s="4" t="s">
        <v>119</v>
      </c>
      <c r="C69" s="4" t="s">
        <v>12</v>
      </c>
      <c r="D69" s="4"/>
      <c r="E69" s="4"/>
      <c r="F69" s="4">
        <v>873039091</v>
      </c>
      <c r="G69" s="6" t="s">
        <v>25</v>
      </c>
      <c r="H69" s="6" t="s">
        <v>13</v>
      </c>
      <c r="I69" s="6" t="s">
        <v>13</v>
      </c>
      <c r="J69" s="4"/>
      <c r="K69" s="7">
        <v>500000</v>
      </c>
      <c r="L69" s="8">
        <v>0.09</v>
      </c>
      <c r="M69" s="4" t="s">
        <v>120</v>
      </c>
      <c r="N69" s="5" t="s">
        <v>27</v>
      </c>
      <c r="O69" s="4" t="s">
        <v>23</v>
      </c>
      <c r="P69" s="4" t="s">
        <v>7</v>
      </c>
      <c r="Q69" s="4" t="s">
        <v>65</v>
      </c>
    </row>
    <row r="70" spans="1:17" ht="17.25">
      <c r="A70" s="4">
        <f t="shared" ref="A70:A101" si="6">A69+1</f>
        <v>69</v>
      </c>
      <c r="B70" s="4" t="s">
        <v>121</v>
      </c>
      <c r="C70" s="4" t="s">
        <v>12</v>
      </c>
      <c r="D70" s="4">
        <v>1997</v>
      </c>
      <c r="E70" s="4">
        <f t="shared" ref="E70:E81" si="7">2025-D70</f>
        <v>28</v>
      </c>
      <c r="F70" s="4">
        <v>877665453</v>
      </c>
      <c r="G70" s="6" t="s">
        <v>13</v>
      </c>
      <c r="H70" s="6" t="s">
        <v>13</v>
      </c>
      <c r="I70" s="6" t="s">
        <v>13</v>
      </c>
      <c r="J70" s="4"/>
      <c r="K70" s="7">
        <v>215000</v>
      </c>
      <c r="L70" s="8">
        <v>0.09</v>
      </c>
      <c r="M70" s="4" t="s">
        <v>122</v>
      </c>
      <c r="N70" s="5" t="s">
        <v>128</v>
      </c>
      <c r="O70" s="4" t="s">
        <v>23</v>
      </c>
      <c r="P70" s="4" t="s">
        <v>6</v>
      </c>
      <c r="Q70" s="4"/>
    </row>
    <row r="71" spans="1:17" ht="17.25">
      <c r="A71" s="4">
        <f t="shared" si="6"/>
        <v>70</v>
      </c>
      <c r="B71" s="15" t="s">
        <v>425</v>
      </c>
      <c r="C71" s="4" t="s">
        <v>97</v>
      </c>
      <c r="D71" s="4">
        <v>1975</v>
      </c>
      <c r="E71" s="4">
        <f t="shared" si="7"/>
        <v>50</v>
      </c>
      <c r="F71" s="4">
        <v>875339371</v>
      </c>
      <c r="G71" s="6" t="s">
        <v>13</v>
      </c>
      <c r="H71" s="6" t="s">
        <v>13</v>
      </c>
      <c r="I71" s="6" t="s">
        <v>13</v>
      </c>
      <c r="J71" s="4"/>
      <c r="K71" s="7">
        <v>500000</v>
      </c>
      <c r="L71" s="8">
        <v>0.09</v>
      </c>
      <c r="M71" s="4" t="s">
        <v>94</v>
      </c>
      <c r="N71" s="5" t="s">
        <v>27</v>
      </c>
      <c r="O71" s="4" t="s">
        <v>23</v>
      </c>
      <c r="P71" s="4" t="s">
        <v>6</v>
      </c>
      <c r="Q71" s="4"/>
    </row>
    <row r="72" spans="1:17" ht="17.25">
      <c r="A72" s="4">
        <f t="shared" si="6"/>
        <v>71</v>
      </c>
      <c r="B72" s="4" t="s">
        <v>123</v>
      </c>
      <c r="C72" s="4" t="s">
        <v>12</v>
      </c>
      <c r="D72" s="4">
        <v>1992</v>
      </c>
      <c r="E72" s="4">
        <f t="shared" si="7"/>
        <v>33</v>
      </c>
      <c r="F72" s="4">
        <v>845152165</v>
      </c>
      <c r="G72" s="6" t="s">
        <v>13</v>
      </c>
      <c r="H72" s="6" t="s">
        <v>13</v>
      </c>
      <c r="I72" s="6" t="s">
        <v>13</v>
      </c>
      <c r="J72" s="4"/>
      <c r="K72" s="7">
        <v>500000</v>
      </c>
      <c r="L72" s="8">
        <v>0.09</v>
      </c>
      <c r="M72" s="4" t="s">
        <v>94</v>
      </c>
      <c r="N72" s="5" t="s">
        <v>27</v>
      </c>
      <c r="O72" s="4" t="s">
        <v>23</v>
      </c>
      <c r="P72" s="4" t="s">
        <v>6</v>
      </c>
      <c r="Q72" s="4"/>
    </row>
    <row r="73" spans="1:17" ht="17.25">
      <c r="A73" s="4">
        <f t="shared" si="6"/>
        <v>72</v>
      </c>
      <c r="B73" s="4" t="s">
        <v>124</v>
      </c>
      <c r="C73" s="4" t="s">
        <v>12</v>
      </c>
      <c r="D73" s="4">
        <v>1986</v>
      </c>
      <c r="E73" s="4">
        <f t="shared" si="7"/>
        <v>39</v>
      </c>
      <c r="F73" s="4">
        <v>844535505</v>
      </c>
      <c r="G73" s="6" t="s">
        <v>13</v>
      </c>
      <c r="H73" s="6" t="s">
        <v>13</v>
      </c>
      <c r="I73" s="6" t="s">
        <v>13</v>
      </c>
      <c r="J73" s="4"/>
      <c r="K73" s="7">
        <v>900000</v>
      </c>
      <c r="L73" s="8">
        <v>0.09</v>
      </c>
      <c r="M73" s="4" t="s">
        <v>98</v>
      </c>
      <c r="N73" s="5" t="s">
        <v>27</v>
      </c>
      <c r="O73" s="4" t="s">
        <v>23</v>
      </c>
      <c r="P73" s="4" t="s">
        <v>6</v>
      </c>
      <c r="Q73" s="4"/>
    </row>
    <row r="74" spans="1:17" ht="17.25">
      <c r="A74" s="4">
        <f t="shared" si="6"/>
        <v>73</v>
      </c>
      <c r="B74" s="4" t="s">
        <v>125</v>
      </c>
      <c r="C74" s="4" t="s">
        <v>12</v>
      </c>
      <c r="D74" s="4">
        <v>1998</v>
      </c>
      <c r="E74" s="4">
        <f t="shared" si="7"/>
        <v>27</v>
      </c>
      <c r="F74" s="4">
        <v>874175411</v>
      </c>
      <c r="G74" s="6" t="s">
        <v>13</v>
      </c>
      <c r="H74" s="6" t="s">
        <v>13</v>
      </c>
      <c r="I74" s="6" t="s">
        <v>13</v>
      </c>
      <c r="J74" s="4"/>
      <c r="K74" s="7">
        <v>50000</v>
      </c>
      <c r="L74" s="8">
        <v>0.09</v>
      </c>
      <c r="M74" s="4" t="s">
        <v>126</v>
      </c>
      <c r="N74" s="5" t="s">
        <v>27</v>
      </c>
      <c r="O74" s="4" t="s">
        <v>23</v>
      </c>
      <c r="P74" s="4" t="s">
        <v>6</v>
      </c>
      <c r="Q74" s="4"/>
    </row>
    <row r="75" spans="1:17" ht="17.25">
      <c r="A75" s="4">
        <f t="shared" si="6"/>
        <v>74</v>
      </c>
      <c r="B75" s="4" t="s">
        <v>439</v>
      </c>
      <c r="C75" s="4" t="s">
        <v>127</v>
      </c>
      <c r="D75" s="4">
        <v>1996</v>
      </c>
      <c r="E75" s="4">
        <f t="shared" si="7"/>
        <v>29</v>
      </c>
      <c r="F75" s="4">
        <v>871631230</v>
      </c>
      <c r="G75" s="6" t="s">
        <v>13</v>
      </c>
      <c r="H75" s="6" t="s">
        <v>13</v>
      </c>
      <c r="I75" s="6" t="s">
        <v>13</v>
      </c>
      <c r="J75" s="4">
        <v>2</v>
      </c>
      <c r="K75" s="7">
        <v>270000</v>
      </c>
      <c r="L75" s="8">
        <v>0.02</v>
      </c>
      <c r="M75" s="4" t="s">
        <v>129</v>
      </c>
      <c r="N75" s="5" t="s">
        <v>27</v>
      </c>
      <c r="O75" s="4" t="s">
        <v>23</v>
      </c>
      <c r="P75" s="4" t="s">
        <v>7</v>
      </c>
      <c r="Q75" s="4" t="s">
        <v>50</v>
      </c>
    </row>
    <row r="76" spans="1:17" ht="17.25">
      <c r="A76" s="4">
        <f t="shared" si="6"/>
        <v>75</v>
      </c>
      <c r="B76" s="4" t="s">
        <v>132</v>
      </c>
      <c r="C76" s="4" t="s">
        <v>241</v>
      </c>
      <c r="D76" s="4">
        <v>2003</v>
      </c>
      <c r="E76" s="4">
        <f t="shared" si="7"/>
        <v>22</v>
      </c>
      <c r="F76" s="4">
        <v>853281239</v>
      </c>
      <c r="G76" s="6" t="s">
        <v>13</v>
      </c>
      <c r="H76" s="6" t="s">
        <v>13</v>
      </c>
      <c r="I76" s="6" t="s">
        <v>13</v>
      </c>
      <c r="J76" s="4" t="s">
        <v>80</v>
      </c>
      <c r="K76" s="7">
        <v>184578.5</v>
      </c>
      <c r="L76" s="8">
        <v>0.02</v>
      </c>
      <c r="M76" s="4" t="s">
        <v>386</v>
      </c>
      <c r="N76" s="5" t="s">
        <v>387</v>
      </c>
      <c r="O76" s="4" t="s">
        <v>53</v>
      </c>
      <c r="P76" s="4" t="s">
        <v>101</v>
      </c>
      <c r="Q76" s="4" t="s">
        <v>451</v>
      </c>
    </row>
    <row r="77" spans="1:17" ht="17.25">
      <c r="A77" s="4">
        <f t="shared" si="6"/>
        <v>76</v>
      </c>
      <c r="B77" s="4" t="s">
        <v>134</v>
      </c>
      <c r="C77" s="4" t="s">
        <v>135</v>
      </c>
      <c r="D77" s="4">
        <v>1995</v>
      </c>
      <c r="E77" s="4">
        <f t="shared" si="7"/>
        <v>30</v>
      </c>
      <c r="F77" s="4">
        <v>844327118</v>
      </c>
      <c r="G77" s="6" t="s">
        <v>13</v>
      </c>
      <c r="H77" s="6" t="s">
        <v>13</v>
      </c>
      <c r="I77" s="6" t="s">
        <v>13</v>
      </c>
      <c r="J77" s="4"/>
      <c r="K77" s="7">
        <v>150000</v>
      </c>
      <c r="L77" s="8">
        <v>0.02</v>
      </c>
      <c r="M77" s="4" t="s">
        <v>386</v>
      </c>
      <c r="N77" s="5" t="s">
        <v>387</v>
      </c>
      <c r="O77" s="4" t="s">
        <v>23</v>
      </c>
      <c r="P77" s="4" t="s">
        <v>6</v>
      </c>
      <c r="Q77" s="4"/>
    </row>
    <row r="78" spans="1:17" ht="17.25">
      <c r="A78" s="4">
        <f t="shared" si="6"/>
        <v>77</v>
      </c>
      <c r="B78" s="4" t="s">
        <v>140</v>
      </c>
      <c r="C78" s="4" t="s">
        <v>241</v>
      </c>
      <c r="D78" s="4">
        <v>1994</v>
      </c>
      <c r="E78" s="4">
        <f t="shared" si="7"/>
        <v>31</v>
      </c>
      <c r="F78" s="4">
        <v>842393632</v>
      </c>
      <c r="G78" s="6" t="s">
        <v>13</v>
      </c>
      <c r="H78" s="6" t="s">
        <v>25</v>
      </c>
      <c r="I78" s="6" t="s">
        <v>25</v>
      </c>
      <c r="J78" s="4">
        <v>5</v>
      </c>
      <c r="K78" s="7">
        <v>510000</v>
      </c>
      <c r="L78" s="8">
        <v>0.02</v>
      </c>
      <c r="M78" s="4" t="s">
        <v>386</v>
      </c>
      <c r="N78" s="5" t="s">
        <v>387</v>
      </c>
      <c r="O78" s="4" t="s">
        <v>136</v>
      </c>
      <c r="P78" s="4" t="s">
        <v>7</v>
      </c>
      <c r="Q78" s="4" t="s">
        <v>137</v>
      </c>
    </row>
    <row r="79" spans="1:17" ht="17.25">
      <c r="A79" s="4">
        <f t="shared" si="6"/>
        <v>78</v>
      </c>
      <c r="B79" s="4" t="s">
        <v>138</v>
      </c>
      <c r="C79" s="4" t="s">
        <v>135</v>
      </c>
      <c r="D79" s="4">
        <v>1994</v>
      </c>
      <c r="E79" s="4">
        <f t="shared" si="7"/>
        <v>31</v>
      </c>
      <c r="F79" s="4">
        <v>843793144</v>
      </c>
      <c r="G79" s="6" t="s">
        <v>13</v>
      </c>
      <c r="H79" s="6" t="s">
        <v>13</v>
      </c>
      <c r="I79" s="6" t="s">
        <v>13</v>
      </c>
      <c r="J79" s="4"/>
      <c r="K79" s="7">
        <v>40000</v>
      </c>
      <c r="L79" s="8">
        <v>0.02</v>
      </c>
      <c r="M79" s="4" t="s">
        <v>141</v>
      </c>
      <c r="N79" s="5" t="s">
        <v>77</v>
      </c>
      <c r="O79" s="4" t="s">
        <v>23</v>
      </c>
      <c r="P79" s="4" t="s">
        <v>6</v>
      </c>
      <c r="Q79" s="4" t="s">
        <v>371</v>
      </c>
    </row>
    <row r="80" spans="1:17" ht="17.25">
      <c r="A80" s="4">
        <f t="shared" si="6"/>
        <v>79</v>
      </c>
      <c r="B80" s="4" t="s">
        <v>142</v>
      </c>
      <c r="C80" s="4" t="s">
        <v>127</v>
      </c>
      <c r="D80" s="4">
        <v>2001</v>
      </c>
      <c r="E80" s="4">
        <f t="shared" si="7"/>
        <v>24</v>
      </c>
      <c r="F80" s="4">
        <v>861518273</v>
      </c>
      <c r="G80" s="6" t="s">
        <v>25</v>
      </c>
      <c r="H80" s="6" t="s">
        <v>25</v>
      </c>
      <c r="I80" s="6" t="s">
        <v>25</v>
      </c>
      <c r="J80" s="4">
        <v>3</v>
      </c>
      <c r="K80" s="7">
        <v>839000</v>
      </c>
      <c r="L80" s="8">
        <v>0.02</v>
      </c>
      <c r="M80" s="4" t="s">
        <v>143</v>
      </c>
      <c r="N80" s="5" t="s">
        <v>77</v>
      </c>
      <c r="O80" s="4" t="s">
        <v>23</v>
      </c>
      <c r="P80" s="4" t="s">
        <v>7</v>
      </c>
      <c r="Q80" s="4" t="s">
        <v>144</v>
      </c>
    </row>
    <row r="81" spans="1:17" ht="17.25">
      <c r="A81" s="4">
        <f t="shared" si="6"/>
        <v>80</v>
      </c>
      <c r="B81" s="15" t="s">
        <v>465</v>
      </c>
      <c r="C81" s="4" t="s">
        <v>127</v>
      </c>
      <c r="D81" s="4">
        <v>1988</v>
      </c>
      <c r="E81" s="4">
        <f t="shared" si="7"/>
        <v>37</v>
      </c>
      <c r="F81" s="4">
        <v>840453452</v>
      </c>
      <c r="G81" s="6" t="s">
        <v>13</v>
      </c>
      <c r="H81" s="6" t="s">
        <v>13</v>
      </c>
      <c r="I81" s="6" t="s">
        <v>13</v>
      </c>
      <c r="J81" s="4"/>
      <c r="K81" s="7">
        <v>300000</v>
      </c>
      <c r="L81" s="8">
        <v>0.02</v>
      </c>
      <c r="M81" s="4" t="s">
        <v>145</v>
      </c>
      <c r="N81" s="5" t="s">
        <v>27</v>
      </c>
      <c r="O81" s="4" t="s">
        <v>23</v>
      </c>
      <c r="P81" s="4" t="s">
        <v>6</v>
      </c>
      <c r="Q81" s="4"/>
    </row>
    <row r="82" spans="1:17" ht="17.25">
      <c r="A82" s="4">
        <f t="shared" si="6"/>
        <v>81</v>
      </c>
      <c r="B82" s="4" t="s">
        <v>146</v>
      </c>
      <c r="C82" s="4" t="s">
        <v>127</v>
      </c>
      <c r="D82" s="4"/>
      <c r="E82" s="4"/>
      <c r="F82" s="4">
        <v>861056589</v>
      </c>
      <c r="G82" s="6" t="s">
        <v>25</v>
      </c>
      <c r="H82" s="6" t="s">
        <v>25</v>
      </c>
      <c r="I82" s="6" t="s">
        <v>13</v>
      </c>
      <c r="J82" s="4"/>
      <c r="K82" s="7">
        <v>350000</v>
      </c>
      <c r="L82" s="8">
        <v>0.02</v>
      </c>
      <c r="M82" s="4" t="s">
        <v>147</v>
      </c>
      <c r="N82" s="5" t="s">
        <v>27</v>
      </c>
      <c r="O82" s="4" t="s">
        <v>23</v>
      </c>
      <c r="P82" s="4" t="s">
        <v>7</v>
      </c>
      <c r="Q82" s="4" t="s">
        <v>315</v>
      </c>
    </row>
    <row r="83" spans="1:17" ht="17.25">
      <c r="A83" s="4">
        <f t="shared" si="6"/>
        <v>82</v>
      </c>
      <c r="B83" s="4" t="s">
        <v>148</v>
      </c>
      <c r="C83" s="4" t="s">
        <v>135</v>
      </c>
      <c r="D83" s="4">
        <v>2003</v>
      </c>
      <c r="E83" s="4">
        <f t="shared" ref="E83:E107" si="8">2025-D83</f>
        <v>22</v>
      </c>
      <c r="F83" s="4">
        <v>860779696</v>
      </c>
      <c r="G83" s="6" t="s">
        <v>13</v>
      </c>
      <c r="H83" s="6" t="s">
        <v>13</v>
      </c>
      <c r="I83" s="6" t="s">
        <v>13</v>
      </c>
      <c r="J83" s="4"/>
      <c r="K83" s="7">
        <v>100000</v>
      </c>
      <c r="L83" s="8">
        <v>0.02</v>
      </c>
      <c r="M83" s="4" t="s">
        <v>149</v>
      </c>
      <c r="N83" s="5" t="s">
        <v>27</v>
      </c>
      <c r="O83" s="4" t="s">
        <v>23</v>
      </c>
      <c r="P83" s="4" t="s">
        <v>6</v>
      </c>
      <c r="Q83" s="4" t="s">
        <v>371</v>
      </c>
    </row>
    <row r="84" spans="1:17" ht="17.25">
      <c r="A84" s="4">
        <f t="shared" si="6"/>
        <v>83</v>
      </c>
      <c r="B84" s="15" t="s">
        <v>466</v>
      </c>
      <c r="C84" s="4" t="s">
        <v>135</v>
      </c>
      <c r="D84" s="4">
        <v>1984</v>
      </c>
      <c r="E84" s="4">
        <f t="shared" si="8"/>
        <v>41</v>
      </c>
      <c r="F84" s="4">
        <v>847164374</v>
      </c>
      <c r="G84" s="6" t="s">
        <v>13</v>
      </c>
      <c r="H84" s="6" t="s">
        <v>13</v>
      </c>
      <c r="I84" s="6" t="s">
        <v>13</v>
      </c>
      <c r="J84" s="4"/>
      <c r="K84" s="7">
        <v>85000</v>
      </c>
      <c r="L84" s="8">
        <v>0.02</v>
      </c>
      <c r="M84" s="4" t="s">
        <v>62</v>
      </c>
      <c r="N84" s="5" t="s">
        <v>27</v>
      </c>
      <c r="O84" s="4" t="s">
        <v>23</v>
      </c>
      <c r="P84" s="4" t="s">
        <v>6</v>
      </c>
      <c r="Q84" s="4"/>
    </row>
    <row r="85" spans="1:17" ht="17.25">
      <c r="A85" s="4">
        <f t="shared" si="6"/>
        <v>84</v>
      </c>
      <c r="B85" s="4" t="s">
        <v>150</v>
      </c>
      <c r="C85" s="4" t="s">
        <v>127</v>
      </c>
      <c r="D85" s="4">
        <v>1989</v>
      </c>
      <c r="E85" s="4">
        <f t="shared" si="8"/>
        <v>36</v>
      </c>
      <c r="F85" s="4">
        <v>876422865</v>
      </c>
      <c r="G85" s="6" t="s">
        <v>13</v>
      </c>
      <c r="H85" s="6" t="s">
        <v>25</v>
      </c>
      <c r="I85" s="6" t="s">
        <v>25</v>
      </c>
      <c r="J85" s="4">
        <v>2</v>
      </c>
      <c r="K85" s="7">
        <v>3000000</v>
      </c>
      <c r="L85" s="8">
        <v>0.02</v>
      </c>
      <c r="M85" s="4" t="s">
        <v>151</v>
      </c>
      <c r="N85" s="5" t="s">
        <v>27</v>
      </c>
      <c r="O85" s="4" t="s">
        <v>23</v>
      </c>
      <c r="P85" s="4" t="s">
        <v>7</v>
      </c>
      <c r="Q85" s="4" t="s">
        <v>137</v>
      </c>
    </row>
    <row r="86" spans="1:17" ht="17.25">
      <c r="A86" s="4">
        <f t="shared" si="6"/>
        <v>85</v>
      </c>
      <c r="B86" s="4" t="s">
        <v>152</v>
      </c>
      <c r="C86" s="4" t="s">
        <v>127</v>
      </c>
      <c r="D86" s="4">
        <v>1992</v>
      </c>
      <c r="E86" s="4">
        <f t="shared" si="8"/>
        <v>33</v>
      </c>
      <c r="F86" s="4">
        <v>864780402</v>
      </c>
      <c r="G86" s="6" t="s">
        <v>13</v>
      </c>
      <c r="H86" s="6" t="s">
        <v>13</v>
      </c>
      <c r="I86" s="6" t="s">
        <v>13</v>
      </c>
      <c r="J86" s="4"/>
      <c r="K86" s="7">
        <v>1350000</v>
      </c>
      <c r="L86" s="8">
        <v>0.02</v>
      </c>
      <c r="M86" s="4" t="s">
        <v>153</v>
      </c>
      <c r="N86" s="5" t="s">
        <v>27</v>
      </c>
      <c r="O86" s="4" t="s">
        <v>23</v>
      </c>
      <c r="P86" s="4" t="s">
        <v>6</v>
      </c>
      <c r="Q86" s="4"/>
    </row>
    <row r="87" spans="1:17" ht="17.25">
      <c r="A87" s="4">
        <f t="shared" si="6"/>
        <v>86</v>
      </c>
      <c r="B87" s="4" t="s">
        <v>154</v>
      </c>
      <c r="C87" s="4" t="s">
        <v>263</v>
      </c>
      <c r="D87" s="4">
        <v>1994</v>
      </c>
      <c r="E87" s="4">
        <f t="shared" si="8"/>
        <v>31</v>
      </c>
      <c r="F87" s="4">
        <v>875475681</v>
      </c>
      <c r="G87" s="6" t="s">
        <v>13</v>
      </c>
      <c r="H87" s="6" t="s">
        <v>13</v>
      </c>
      <c r="I87" s="6" t="s">
        <v>25</v>
      </c>
      <c r="J87" s="4"/>
      <c r="K87" s="7">
        <v>150000</v>
      </c>
      <c r="L87" s="8">
        <v>0.02</v>
      </c>
      <c r="M87" s="4" t="s">
        <v>62</v>
      </c>
      <c r="N87" s="5" t="s">
        <v>27</v>
      </c>
      <c r="O87" s="4" t="s">
        <v>23</v>
      </c>
      <c r="P87" s="4" t="s">
        <v>7</v>
      </c>
      <c r="Q87" s="4" t="s">
        <v>155</v>
      </c>
    </row>
    <row r="88" spans="1:17" ht="17.25">
      <c r="A88" s="4">
        <f t="shared" si="6"/>
        <v>87</v>
      </c>
      <c r="B88" s="4" t="s">
        <v>156</v>
      </c>
      <c r="C88" s="4" t="s">
        <v>263</v>
      </c>
      <c r="D88" s="4">
        <v>1972</v>
      </c>
      <c r="E88" s="4">
        <f t="shared" si="8"/>
        <v>53</v>
      </c>
      <c r="F88" s="4">
        <v>875997191</v>
      </c>
      <c r="G88" s="6" t="s">
        <v>13</v>
      </c>
      <c r="H88" s="6" t="s">
        <v>13</v>
      </c>
      <c r="I88" s="6" t="s">
        <v>25</v>
      </c>
      <c r="J88" s="4"/>
      <c r="K88" s="7">
        <v>100000</v>
      </c>
      <c r="L88" s="8">
        <v>0.02</v>
      </c>
      <c r="M88" s="4" t="s">
        <v>157</v>
      </c>
      <c r="N88" s="5" t="s">
        <v>158</v>
      </c>
      <c r="O88" s="4" t="s">
        <v>23</v>
      </c>
      <c r="P88" s="4" t="s">
        <v>7</v>
      </c>
      <c r="Q88" s="4" t="s">
        <v>371</v>
      </c>
    </row>
    <row r="89" spans="1:17" ht="17.25">
      <c r="A89" s="4">
        <f t="shared" si="6"/>
        <v>88</v>
      </c>
      <c r="B89" s="4" t="s">
        <v>159</v>
      </c>
      <c r="C89" s="4" t="s">
        <v>160</v>
      </c>
      <c r="D89" s="4">
        <v>1992</v>
      </c>
      <c r="E89" s="4">
        <f t="shared" si="8"/>
        <v>33</v>
      </c>
      <c r="F89" s="4">
        <v>840460707</v>
      </c>
      <c r="G89" s="6" t="s">
        <v>13</v>
      </c>
      <c r="H89" s="6" t="s">
        <v>13</v>
      </c>
      <c r="I89" s="6" t="s">
        <v>25</v>
      </c>
      <c r="J89" s="4"/>
      <c r="K89" s="7">
        <v>220000</v>
      </c>
      <c r="L89" s="8">
        <v>0.02</v>
      </c>
      <c r="M89" s="4" t="s">
        <v>161</v>
      </c>
      <c r="N89" s="5" t="s">
        <v>27</v>
      </c>
      <c r="O89" s="4" t="s">
        <v>23</v>
      </c>
      <c r="P89" s="4" t="s">
        <v>7</v>
      </c>
      <c r="Q89" s="4" t="s">
        <v>371</v>
      </c>
    </row>
    <row r="90" spans="1:17" ht="17.25">
      <c r="A90" s="4">
        <f t="shared" si="6"/>
        <v>89</v>
      </c>
      <c r="B90" s="15" t="s">
        <v>162</v>
      </c>
      <c r="C90" s="4" t="s">
        <v>127</v>
      </c>
      <c r="D90" s="4">
        <v>2005</v>
      </c>
      <c r="E90" s="4">
        <f t="shared" si="8"/>
        <v>20</v>
      </c>
      <c r="F90" s="4">
        <v>872895198</v>
      </c>
      <c r="G90" s="6" t="s">
        <v>13</v>
      </c>
      <c r="H90" s="6" t="s">
        <v>13</v>
      </c>
      <c r="I90" s="6" t="s">
        <v>13</v>
      </c>
      <c r="J90" s="4"/>
      <c r="K90" s="7">
        <v>850000</v>
      </c>
      <c r="L90" s="8">
        <v>0.02</v>
      </c>
      <c r="M90" s="4" t="s">
        <v>163</v>
      </c>
      <c r="N90" s="5" t="s">
        <v>27</v>
      </c>
      <c r="O90" s="4" t="s">
        <v>23</v>
      </c>
      <c r="P90" s="4" t="s">
        <v>6</v>
      </c>
      <c r="Q90" s="4"/>
    </row>
    <row r="91" spans="1:17" ht="17.25">
      <c r="A91" s="4">
        <f t="shared" si="6"/>
        <v>90</v>
      </c>
      <c r="B91" s="4" t="s">
        <v>435</v>
      </c>
      <c r="C91" s="4" t="s">
        <v>241</v>
      </c>
      <c r="D91" s="4">
        <v>1983</v>
      </c>
      <c r="E91" s="4">
        <f t="shared" si="8"/>
        <v>42</v>
      </c>
      <c r="F91" s="4">
        <v>844246023</v>
      </c>
      <c r="G91" s="6" t="s">
        <v>13</v>
      </c>
      <c r="H91" s="6" t="s">
        <v>13</v>
      </c>
      <c r="I91" s="6" t="s">
        <v>25</v>
      </c>
      <c r="J91" s="4">
        <v>5</v>
      </c>
      <c r="K91" s="7">
        <v>1500000</v>
      </c>
      <c r="L91" s="8">
        <v>0.02</v>
      </c>
      <c r="M91" s="4" t="s">
        <v>164</v>
      </c>
      <c r="N91" s="5" t="s">
        <v>27</v>
      </c>
      <c r="O91" s="4" t="s">
        <v>136</v>
      </c>
      <c r="P91" s="4" t="s">
        <v>7</v>
      </c>
      <c r="Q91" s="4" t="s">
        <v>165</v>
      </c>
    </row>
    <row r="92" spans="1:17" ht="17.25">
      <c r="A92" s="4">
        <f t="shared" si="6"/>
        <v>91</v>
      </c>
      <c r="B92" s="4" t="s">
        <v>166</v>
      </c>
      <c r="C92" s="4" t="s">
        <v>241</v>
      </c>
      <c r="D92" s="4">
        <v>1990</v>
      </c>
      <c r="E92" s="4">
        <f t="shared" si="8"/>
        <v>35</v>
      </c>
      <c r="F92" s="4">
        <v>864059313</v>
      </c>
      <c r="G92" s="6" t="s">
        <v>13</v>
      </c>
      <c r="H92" s="6" t="s">
        <v>13</v>
      </c>
      <c r="I92" s="6" t="s">
        <v>13</v>
      </c>
      <c r="J92" s="4"/>
      <c r="K92" s="7">
        <v>200000</v>
      </c>
      <c r="L92" s="8">
        <v>0.02</v>
      </c>
      <c r="M92" s="4" t="s">
        <v>167</v>
      </c>
      <c r="N92" s="5" t="s">
        <v>77</v>
      </c>
      <c r="O92" s="4" t="s">
        <v>136</v>
      </c>
      <c r="P92" s="4" t="s">
        <v>7</v>
      </c>
      <c r="Q92" s="4" t="s">
        <v>168</v>
      </c>
    </row>
    <row r="93" spans="1:17" ht="17.25">
      <c r="A93" s="4">
        <f t="shared" si="6"/>
        <v>92</v>
      </c>
      <c r="B93" s="4" t="s">
        <v>169</v>
      </c>
      <c r="C93" s="4" t="s">
        <v>160</v>
      </c>
      <c r="D93" s="4">
        <v>1999</v>
      </c>
      <c r="E93" s="4">
        <f t="shared" si="8"/>
        <v>26</v>
      </c>
      <c r="F93" s="4">
        <v>852814773</v>
      </c>
      <c r="G93" s="6" t="s">
        <v>13</v>
      </c>
      <c r="H93" s="6" t="s">
        <v>13</v>
      </c>
      <c r="I93" s="6" t="s">
        <v>25</v>
      </c>
      <c r="J93" s="4"/>
      <c r="K93" s="7">
        <v>350000</v>
      </c>
      <c r="L93" s="8">
        <v>0.02</v>
      </c>
      <c r="M93" s="4" t="s">
        <v>64</v>
      </c>
      <c r="N93" s="5" t="s">
        <v>27</v>
      </c>
      <c r="O93" s="4" t="s">
        <v>23</v>
      </c>
      <c r="P93" s="4" t="s">
        <v>7</v>
      </c>
      <c r="Q93" s="4" t="s">
        <v>371</v>
      </c>
    </row>
    <row r="94" spans="1:17" ht="17.25">
      <c r="A94" s="4">
        <f t="shared" si="6"/>
        <v>93</v>
      </c>
      <c r="B94" s="4" t="s">
        <v>170</v>
      </c>
      <c r="C94" s="4" t="s">
        <v>127</v>
      </c>
      <c r="D94" s="4">
        <v>1987</v>
      </c>
      <c r="E94" s="4">
        <f t="shared" si="8"/>
        <v>38</v>
      </c>
      <c r="F94" s="4">
        <v>848697064</v>
      </c>
      <c r="G94" s="6" t="s">
        <v>13</v>
      </c>
      <c r="H94" s="6" t="s">
        <v>13</v>
      </c>
      <c r="I94" s="6" t="s">
        <v>13</v>
      </c>
      <c r="J94" s="4"/>
      <c r="K94" s="7">
        <v>1000000</v>
      </c>
      <c r="L94" s="8">
        <v>0.02</v>
      </c>
      <c r="M94" s="4" t="s">
        <v>378</v>
      </c>
      <c r="N94" s="5" t="s">
        <v>77</v>
      </c>
      <c r="O94" s="4" t="s">
        <v>23</v>
      </c>
      <c r="P94" s="4" t="s">
        <v>7</v>
      </c>
      <c r="Q94" s="4"/>
    </row>
    <row r="95" spans="1:17" ht="17.25">
      <c r="A95" s="4">
        <f t="shared" si="6"/>
        <v>94</v>
      </c>
      <c r="B95" s="4" t="s">
        <v>173</v>
      </c>
      <c r="C95" s="4" t="s">
        <v>263</v>
      </c>
      <c r="D95" s="4">
        <v>2001</v>
      </c>
      <c r="E95" s="4">
        <f t="shared" si="8"/>
        <v>24</v>
      </c>
      <c r="F95" s="4">
        <v>868135127</v>
      </c>
      <c r="G95" s="6" t="s">
        <v>13</v>
      </c>
      <c r="H95" s="6" t="s">
        <v>25</v>
      </c>
      <c r="I95" s="6" t="s">
        <v>25</v>
      </c>
      <c r="J95" s="4">
        <v>2</v>
      </c>
      <c r="K95" s="7">
        <v>250000</v>
      </c>
      <c r="L95" s="8">
        <v>0.02</v>
      </c>
      <c r="M95" s="4" t="s">
        <v>174</v>
      </c>
      <c r="N95" s="5" t="s">
        <v>77</v>
      </c>
      <c r="O95" s="4" t="s">
        <v>136</v>
      </c>
      <c r="P95" s="4" t="s">
        <v>7</v>
      </c>
      <c r="Q95" s="4" t="s">
        <v>137</v>
      </c>
    </row>
    <row r="96" spans="1:17" ht="17.25">
      <c r="A96" s="4">
        <f t="shared" si="6"/>
        <v>95</v>
      </c>
      <c r="B96" s="4" t="s">
        <v>175</v>
      </c>
      <c r="C96" s="4" t="s">
        <v>241</v>
      </c>
      <c r="D96" s="4">
        <v>1990</v>
      </c>
      <c r="E96" s="4">
        <f t="shared" si="8"/>
        <v>35</v>
      </c>
      <c r="F96" s="4">
        <v>861011416</v>
      </c>
      <c r="G96" s="6" t="s">
        <v>13</v>
      </c>
      <c r="H96" s="6" t="s">
        <v>13</v>
      </c>
      <c r="I96" s="6" t="s">
        <v>13</v>
      </c>
      <c r="J96" s="4"/>
      <c r="K96" s="7">
        <v>400000</v>
      </c>
      <c r="L96" s="8">
        <v>0.02</v>
      </c>
      <c r="M96" s="4" t="s">
        <v>62</v>
      </c>
      <c r="N96" s="5" t="s">
        <v>27</v>
      </c>
      <c r="O96" s="4" t="s">
        <v>23</v>
      </c>
      <c r="P96" s="4" t="s">
        <v>6</v>
      </c>
      <c r="Q96" s="4"/>
    </row>
    <row r="97" spans="1:17" ht="17.25">
      <c r="A97" s="4">
        <f t="shared" si="6"/>
        <v>96</v>
      </c>
      <c r="B97" s="4" t="s">
        <v>176</v>
      </c>
      <c r="C97" s="4" t="s">
        <v>263</v>
      </c>
      <c r="D97" s="4">
        <v>1972</v>
      </c>
      <c r="E97" s="4">
        <f t="shared" si="8"/>
        <v>53</v>
      </c>
      <c r="F97" s="4">
        <v>864131631</v>
      </c>
      <c r="G97" s="6" t="s">
        <v>13</v>
      </c>
      <c r="H97" s="6" t="s">
        <v>13</v>
      </c>
      <c r="I97" s="6" t="s">
        <v>25</v>
      </c>
      <c r="J97" s="4"/>
      <c r="K97" s="7">
        <v>65000</v>
      </c>
      <c r="L97" s="8">
        <v>0.02</v>
      </c>
      <c r="M97" s="4" t="s">
        <v>90</v>
      </c>
      <c r="N97" s="5" t="s">
        <v>77</v>
      </c>
      <c r="O97" s="4" t="s">
        <v>23</v>
      </c>
      <c r="P97" s="4" t="s">
        <v>7</v>
      </c>
      <c r="Q97" s="4" t="s">
        <v>371</v>
      </c>
    </row>
    <row r="98" spans="1:17" ht="17.25">
      <c r="A98" s="4">
        <f t="shared" si="6"/>
        <v>97</v>
      </c>
      <c r="B98" s="4" t="s">
        <v>177</v>
      </c>
      <c r="C98" s="4" t="s">
        <v>135</v>
      </c>
      <c r="D98" s="4">
        <v>2005</v>
      </c>
      <c r="E98" s="4">
        <f t="shared" si="8"/>
        <v>20</v>
      </c>
      <c r="F98" s="4">
        <v>852858437</v>
      </c>
      <c r="G98" s="6" t="s">
        <v>13</v>
      </c>
      <c r="H98" s="6" t="s">
        <v>13</v>
      </c>
      <c r="I98" s="6" t="s">
        <v>25</v>
      </c>
      <c r="J98" s="4"/>
      <c r="K98" s="7">
        <v>125000</v>
      </c>
      <c r="L98" s="8">
        <v>0.02</v>
      </c>
      <c r="M98" s="4" t="s">
        <v>94</v>
      </c>
      <c r="N98" s="5" t="s">
        <v>27</v>
      </c>
      <c r="O98" s="4" t="s">
        <v>23</v>
      </c>
      <c r="P98" s="4" t="s">
        <v>7</v>
      </c>
      <c r="Q98" s="4" t="s">
        <v>371</v>
      </c>
    </row>
    <row r="99" spans="1:17" ht="17.25">
      <c r="A99" s="4">
        <f t="shared" si="6"/>
        <v>98</v>
      </c>
      <c r="B99" s="4" t="s">
        <v>178</v>
      </c>
      <c r="C99" s="4" t="s">
        <v>127</v>
      </c>
      <c r="D99" s="4">
        <v>1996</v>
      </c>
      <c r="E99" s="4">
        <f t="shared" si="8"/>
        <v>29</v>
      </c>
      <c r="F99" s="4">
        <v>872521296</v>
      </c>
      <c r="G99" s="6" t="s">
        <v>13</v>
      </c>
      <c r="H99" s="6" t="s">
        <v>25</v>
      </c>
      <c r="I99" s="6" t="s">
        <v>25</v>
      </c>
      <c r="J99" s="4">
        <v>2</v>
      </c>
      <c r="K99" s="7">
        <v>500000</v>
      </c>
      <c r="L99" s="8">
        <v>0.02</v>
      </c>
      <c r="M99" s="4" t="s">
        <v>179</v>
      </c>
      <c r="N99" s="5" t="s">
        <v>27</v>
      </c>
      <c r="O99" s="4" t="s">
        <v>23</v>
      </c>
      <c r="P99" s="4" t="s">
        <v>7</v>
      </c>
      <c r="Q99" s="4" t="s">
        <v>180</v>
      </c>
    </row>
    <row r="100" spans="1:17" ht="17.25">
      <c r="A100" s="4">
        <f t="shared" si="6"/>
        <v>99</v>
      </c>
      <c r="B100" s="4" t="s">
        <v>181</v>
      </c>
      <c r="C100" s="4" t="s">
        <v>127</v>
      </c>
      <c r="D100" s="4">
        <v>1996</v>
      </c>
      <c r="E100" s="4">
        <f t="shared" si="8"/>
        <v>29</v>
      </c>
      <c r="F100" s="4">
        <v>845785880</v>
      </c>
      <c r="G100" s="6" t="s">
        <v>13</v>
      </c>
      <c r="H100" s="6" t="s">
        <v>13</v>
      </c>
      <c r="I100" s="6" t="s">
        <v>13</v>
      </c>
      <c r="J100" s="4"/>
      <c r="K100" s="7">
        <v>600000</v>
      </c>
      <c r="L100" s="8">
        <v>0.02</v>
      </c>
      <c r="M100" s="4" t="s">
        <v>386</v>
      </c>
      <c r="N100" s="5" t="s">
        <v>387</v>
      </c>
      <c r="O100" s="4" t="s">
        <v>23</v>
      </c>
      <c r="P100" s="4" t="s">
        <v>6</v>
      </c>
      <c r="Q100" s="4"/>
    </row>
    <row r="101" spans="1:17" ht="17.25">
      <c r="A101" s="4">
        <f t="shared" si="6"/>
        <v>100</v>
      </c>
      <c r="B101" s="4" t="s">
        <v>182</v>
      </c>
      <c r="C101" s="4" t="s">
        <v>263</v>
      </c>
      <c r="D101" s="4">
        <v>1992</v>
      </c>
      <c r="E101" s="4">
        <f t="shared" si="8"/>
        <v>33</v>
      </c>
      <c r="F101" s="4">
        <v>863002367</v>
      </c>
      <c r="G101" s="6" t="s">
        <v>13</v>
      </c>
      <c r="H101" s="6" t="s">
        <v>25</v>
      </c>
      <c r="I101" s="6" t="s">
        <v>25</v>
      </c>
      <c r="J101" s="4">
        <v>2</v>
      </c>
      <c r="K101" s="7">
        <v>550000</v>
      </c>
      <c r="L101" s="8">
        <v>0.02</v>
      </c>
      <c r="M101" s="4" t="s">
        <v>94</v>
      </c>
      <c r="N101" s="5" t="s">
        <v>27</v>
      </c>
      <c r="O101" s="4" t="s">
        <v>23</v>
      </c>
      <c r="P101" s="4" t="s">
        <v>7</v>
      </c>
      <c r="Q101" s="4" t="s">
        <v>137</v>
      </c>
    </row>
    <row r="102" spans="1:17" ht="17.25">
      <c r="A102" s="4">
        <f t="shared" ref="A102:A107" si="9">A101+1</f>
        <v>101</v>
      </c>
      <c r="B102" s="4" t="s">
        <v>183</v>
      </c>
      <c r="C102" s="4" t="s">
        <v>241</v>
      </c>
      <c r="D102" s="4">
        <v>1993</v>
      </c>
      <c r="E102" s="4">
        <f t="shared" si="8"/>
        <v>32</v>
      </c>
      <c r="F102" s="4">
        <v>842878526</v>
      </c>
      <c r="G102" s="6" t="s">
        <v>13</v>
      </c>
      <c r="H102" s="6" t="s">
        <v>13</v>
      </c>
      <c r="I102" s="6" t="s">
        <v>25</v>
      </c>
      <c r="J102" s="4"/>
      <c r="K102" s="7">
        <v>1000000</v>
      </c>
      <c r="L102" s="8">
        <v>0.02</v>
      </c>
      <c r="M102" s="4" t="s">
        <v>94</v>
      </c>
      <c r="N102" s="5" t="s">
        <v>27</v>
      </c>
      <c r="O102" s="4" t="s">
        <v>23</v>
      </c>
      <c r="P102" s="4" t="s">
        <v>7</v>
      </c>
      <c r="Q102" s="4" t="s">
        <v>184</v>
      </c>
    </row>
    <row r="103" spans="1:17" ht="17.25">
      <c r="A103" s="4">
        <f t="shared" si="9"/>
        <v>102</v>
      </c>
      <c r="B103" s="15" t="s">
        <v>185</v>
      </c>
      <c r="C103" s="4" t="s">
        <v>127</v>
      </c>
      <c r="D103" s="4">
        <v>1994</v>
      </c>
      <c r="E103" s="4">
        <f t="shared" si="8"/>
        <v>31</v>
      </c>
      <c r="F103" s="4">
        <v>843964620</v>
      </c>
      <c r="G103" s="6" t="s">
        <v>13</v>
      </c>
      <c r="H103" s="6" t="s">
        <v>13</v>
      </c>
      <c r="I103" s="6" t="s">
        <v>13</v>
      </c>
      <c r="J103" s="4"/>
      <c r="K103" s="7">
        <v>256000</v>
      </c>
      <c r="L103" s="8">
        <v>0.02</v>
      </c>
      <c r="M103" s="4" t="s">
        <v>186</v>
      </c>
      <c r="N103" s="5" t="s">
        <v>27</v>
      </c>
      <c r="O103" s="4" t="s">
        <v>23</v>
      </c>
      <c r="P103" s="4" t="s">
        <v>6</v>
      </c>
      <c r="Q103" s="4"/>
    </row>
    <row r="104" spans="1:17" ht="17.25">
      <c r="A104" s="4">
        <f t="shared" si="9"/>
        <v>103</v>
      </c>
      <c r="B104" s="4" t="s">
        <v>187</v>
      </c>
      <c r="C104" s="4" t="s">
        <v>127</v>
      </c>
      <c r="D104" s="4">
        <v>1975</v>
      </c>
      <c r="E104" s="4">
        <f t="shared" si="8"/>
        <v>50</v>
      </c>
      <c r="F104" s="4">
        <v>865053017</v>
      </c>
      <c r="G104" s="6" t="s">
        <v>13</v>
      </c>
      <c r="H104" s="6" t="s">
        <v>25</v>
      </c>
      <c r="I104" s="6" t="s">
        <v>25</v>
      </c>
      <c r="J104" s="4"/>
      <c r="K104" s="7">
        <v>500000</v>
      </c>
      <c r="L104" s="8">
        <v>0.02</v>
      </c>
      <c r="M104" s="4" t="s">
        <v>188</v>
      </c>
      <c r="N104" s="5" t="s">
        <v>27</v>
      </c>
      <c r="O104" s="4" t="s">
        <v>23</v>
      </c>
      <c r="P104" s="4" t="s">
        <v>7</v>
      </c>
      <c r="Q104" s="4" t="s">
        <v>137</v>
      </c>
    </row>
    <row r="105" spans="1:17" ht="17.25">
      <c r="A105" s="4">
        <f t="shared" si="9"/>
        <v>104</v>
      </c>
      <c r="B105" s="15" t="s">
        <v>190</v>
      </c>
      <c r="C105" s="4" t="s">
        <v>241</v>
      </c>
      <c r="D105" s="4">
        <v>1994</v>
      </c>
      <c r="E105" s="4">
        <f t="shared" si="8"/>
        <v>31</v>
      </c>
      <c r="F105" s="4">
        <v>844587295</v>
      </c>
      <c r="G105" s="6" t="s">
        <v>13</v>
      </c>
      <c r="H105" s="6" t="s">
        <v>13</v>
      </c>
      <c r="I105" s="6" t="s">
        <v>13</v>
      </c>
      <c r="J105" s="4"/>
      <c r="K105" s="7">
        <v>500000</v>
      </c>
      <c r="L105" s="8">
        <v>0.02</v>
      </c>
      <c r="M105" s="4" t="s">
        <v>189</v>
      </c>
      <c r="N105" s="5" t="s">
        <v>77</v>
      </c>
      <c r="O105" s="4" t="s">
        <v>23</v>
      </c>
      <c r="P105" s="4" t="s">
        <v>6</v>
      </c>
      <c r="Q105" s="4"/>
    </row>
    <row r="106" spans="1:17" ht="17.25">
      <c r="A106" s="4">
        <f t="shared" si="9"/>
        <v>105</v>
      </c>
      <c r="B106" s="15" t="s">
        <v>191</v>
      </c>
      <c r="C106" s="4" t="s">
        <v>127</v>
      </c>
      <c r="D106" s="4">
        <v>1990</v>
      </c>
      <c r="E106" s="4">
        <f t="shared" si="8"/>
        <v>35</v>
      </c>
      <c r="F106" s="4">
        <v>852782115</v>
      </c>
      <c r="G106" s="6" t="s">
        <v>13</v>
      </c>
      <c r="H106" s="6" t="s">
        <v>13</v>
      </c>
      <c r="I106" s="6" t="s">
        <v>13</v>
      </c>
      <c r="J106" s="4"/>
      <c r="K106" s="7">
        <v>50000</v>
      </c>
      <c r="L106" s="8">
        <v>0.02</v>
      </c>
      <c r="M106" s="4" t="s">
        <v>94</v>
      </c>
      <c r="N106" s="5" t="s">
        <v>77</v>
      </c>
      <c r="O106" s="4" t="s">
        <v>23</v>
      </c>
      <c r="P106" s="4" t="s">
        <v>6</v>
      </c>
      <c r="Q106" s="4"/>
    </row>
    <row r="107" spans="1:17" ht="17.25">
      <c r="A107" s="4">
        <f t="shared" si="9"/>
        <v>106</v>
      </c>
      <c r="B107" s="4">
        <v>107</v>
      </c>
      <c r="C107" s="4" t="s">
        <v>12</v>
      </c>
      <c r="D107" s="4">
        <v>1992</v>
      </c>
      <c r="E107" s="4">
        <f t="shared" si="8"/>
        <v>33</v>
      </c>
      <c r="F107" s="4">
        <v>875302793</v>
      </c>
      <c r="G107" s="6" t="s">
        <v>13</v>
      </c>
      <c r="H107" s="6" t="s">
        <v>13</v>
      </c>
      <c r="I107" s="6" t="s">
        <v>13</v>
      </c>
      <c r="J107" s="4"/>
      <c r="K107" s="7">
        <v>200000</v>
      </c>
      <c r="L107" s="8">
        <v>0.09</v>
      </c>
      <c r="M107" s="4" t="s">
        <v>92</v>
      </c>
      <c r="N107" s="5" t="s">
        <v>27</v>
      </c>
      <c r="O107" s="4" t="s">
        <v>23</v>
      </c>
      <c r="P107" s="4" t="s">
        <v>6</v>
      </c>
      <c r="Q107" s="4"/>
    </row>
    <row r="108" spans="1:17" ht="17.25">
      <c r="A108" s="4">
        <f t="shared" ref="A108:A131" si="10">A107+1</f>
        <v>107</v>
      </c>
      <c r="B108" s="4" t="s">
        <v>193</v>
      </c>
      <c r="C108" s="4" t="s">
        <v>135</v>
      </c>
      <c r="D108" s="4">
        <v>1998</v>
      </c>
      <c r="E108" s="4">
        <f t="shared" ref="E108:E138" si="11">2025-D108</f>
        <v>27</v>
      </c>
      <c r="F108" s="4">
        <v>853224716</v>
      </c>
      <c r="G108" s="6" t="s">
        <v>13</v>
      </c>
      <c r="H108" s="6" t="s">
        <v>13</v>
      </c>
      <c r="I108" s="6" t="s">
        <v>25</v>
      </c>
      <c r="J108" s="4"/>
      <c r="K108" s="7">
        <v>65000</v>
      </c>
      <c r="L108" s="8">
        <v>0.02</v>
      </c>
      <c r="M108" s="4" t="s">
        <v>64</v>
      </c>
      <c r="N108" s="5" t="s">
        <v>27</v>
      </c>
      <c r="O108" s="4" t="s">
        <v>23</v>
      </c>
      <c r="P108" s="4" t="s">
        <v>7</v>
      </c>
      <c r="Q108" s="4" t="s">
        <v>371</v>
      </c>
    </row>
    <row r="109" spans="1:17" ht="17.25">
      <c r="A109" s="4">
        <f t="shared" si="10"/>
        <v>108</v>
      </c>
      <c r="B109" s="4" t="s">
        <v>194</v>
      </c>
      <c r="C109" s="4" t="s">
        <v>127</v>
      </c>
      <c r="D109" s="4">
        <v>1990</v>
      </c>
      <c r="E109" s="4">
        <f t="shared" si="11"/>
        <v>35</v>
      </c>
      <c r="F109" s="4">
        <v>871091074</v>
      </c>
      <c r="G109" s="6" t="s">
        <v>13</v>
      </c>
      <c r="H109" s="6" t="s">
        <v>25</v>
      </c>
      <c r="I109" s="6" t="s">
        <v>25</v>
      </c>
      <c r="J109" s="4"/>
      <c r="K109" s="7">
        <v>200000</v>
      </c>
      <c r="L109" s="8">
        <v>0.02</v>
      </c>
      <c r="M109" s="4" t="s">
        <v>195</v>
      </c>
      <c r="N109" s="5" t="s">
        <v>77</v>
      </c>
      <c r="O109" s="4" t="s">
        <v>23</v>
      </c>
      <c r="P109" s="4" t="s">
        <v>7</v>
      </c>
      <c r="Q109" s="4" t="s">
        <v>137</v>
      </c>
    </row>
    <row r="110" spans="1:17" ht="17.25">
      <c r="A110" s="4">
        <f t="shared" si="10"/>
        <v>109</v>
      </c>
      <c r="B110" s="15" t="s">
        <v>196</v>
      </c>
      <c r="C110" s="4" t="s">
        <v>127</v>
      </c>
      <c r="D110" s="4">
        <v>1983</v>
      </c>
      <c r="E110" s="4">
        <f t="shared" si="11"/>
        <v>42</v>
      </c>
      <c r="F110" s="4">
        <v>876438025</v>
      </c>
      <c r="G110" s="6" t="s">
        <v>13</v>
      </c>
      <c r="H110" s="6" t="s">
        <v>13</v>
      </c>
      <c r="I110" s="6" t="s">
        <v>13</v>
      </c>
      <c r="J110" s="4"/>
      <c r="K110" s="7">
        <v>50000</v>
      </c>
      <c r="L110" s="8">
        <v>0.02</v>
      </c>
      <c r="M110" s="4" t="s">
        <v>62</v>
      </c>
      <c r="N110" s="5" t="s">
        <v>27</v>
      </c>
      <c r="O110" s="4" t="s">
        <v>23</v>
      </c>
      <c r="P110" s="4" t="s">
        <v>6</v>
      </c>
      <c r="Q110" s="4"/>
    </row>
    <row r="111" spans="1:17" ht="17.25">
      <c r="A111" s="4">
        <f t="shared" si="10"/>
        <v>110</v>
      </c>
      <c r="B111" s="15" t="s">
        <v>197</v>
      </c>
      <c r="C111" s="4" t="s">
        <v>127</v>
      </c>
      <c r="D111" s="4">
        <v>2001</v>
      </c>
      <c r="E111" s="4">
        <f t="shared" si="11"/>
        <v>24</v>
      </c>
      <c r="F111" s="4">
        <v>874114384</v>
      </c>
      <c r="G111" s="6" t="s">
        <v>13</v>
      </c>
      <c r="H111" s="6" t="s">
        <v>13</v>
      </c>
      <c r="I111" s="6" t="s">
        <v>13</v>
      </c>
      <c r="J111" s="4"/>
      <c r="K111" s="7">
        <v>150000</v>
      </c>
      <c r="L111" s="8">
        <v>0.02</v>
      </c>
      <c r="M111" s="4" t="s">
        <v>195</v>
      </c>
      <c r="N111" s="5" t="s">
        <v>77</v>
      </c>
      <c r="O111" s="4" t="s">
        <v>23</v>
      </c>
      <c r="P111" s="4" t="s">
        <v>6</v>
      </c>
      <c r="Q111" s="4"/>
    </row>
    <row r="112" spans="1:17" ht="17.25">
      <c r="A112" s="4">
        <f t="shared" si="10"/>
        <v>111</v>
      </c>
      <c r="B112" s="4" t="s">
        <v>198</v>
      </c>
      <c r="C112" s="4" t="s">
        <v>127</v>
      </c>
      <c r="D112" s="4">
        <v>1997</v>
      </c>
      <c r="E112" s="4">
        <f t="shared" si="11"/>
        <v>28</v>
      </c>
      <c r="F112" s="4">
        <v>874417680</v>
      </c>
      <c r="G112" s="6" t="s">
        <v>13</v>
      </c>
      <c r="H112" s="6" t="s">
        <v>25</v>
      </c>
      <c r="I112" s="6" t="s">
        <v>25</v>
      </c>
      <c r="J112" s="4"/>
      <c r="K112" s="7">
        <v>1350000</v>
      </c>
      <c r="L112" s="8">
        <v>0.02</v>
      </c>
      <c r="M112" s="4" t="s">
        <v>199</v>
      </c>
      <c r="N112" s="5" t="s">
        <v>77</v>
      </c>
      <c r="O112" s="4" t="s">
        <v>23</v>
      </c>
      <c r="P112" s="4" t="s">
        <v>7</v>
      </c>
      <c r="Q112" s="4" t="s">
        <v>200</v>
      </c>
    </row>
    <row r="113" spans="1:17" ht="17.25">
      <c r="A113" s="4">
        <f t="shared" si="10"/>
        <v>112</v>
      </c>
      <c r="B113" s="4" t="s">
        <v>201</v>
      </c>
      <c r="C113" s="4" t="s">
        <v>263</v>
      </c>
      <c r="D113" s="4">
        <v>1990</v>
      </c>
      <c r="E113" s="4">
        <f t="shared" si="11"/>
        <v>35</v>
      </c>
      <c r="F113" s="4">
        <v>877601426</v>
      </c>
      <c r="G113" s="6" t="s">
        <v>13</v>
      </c>
      <c r="H113" s="6" t="s">
        <v>13</v>
      </c>
      <c r="I113" s="6" t="s">
        <v>25</v>
      </c>
      <c r="J113" s="4"/>
      <c r="K113" s="7">
        <v>130000</v>
      </c>
      <c r="L113" s="8">
        <v>0.02</v>
      </c>
      <c r="M113" s="4" t="s">
        <v>202</v>
      </c>
      <c r="N113" s="5" t="s">
        <v>77</v>
      </c>
      <c r="O113" s="4" t="s">
        <v>23</v>
      </c>
      <c r="P113" s="4" t="s">
        <v>7</v>
      </c>
      <c r="Q113" s="4" t="s">
        <v>371</v>
      </c>
    </row>
    <row r="114" spans="1:17" ht="17.25">
      <c r="A114" s="4">
        <f t="shared" si="10"/>
        <v>113</v>
      </c>
      <c r="B114" s="4" t="s">
        <v>203</v>
      </c>
      <c r="C114" s="4" t="s">
        <v>263</v>
      </c>
      <c r="D114" s="4">
        <v>1986</v>
      </c>
      <c r="E114" s="4">
        <f t="shared" si="11"/>
        <v>39</v>
      </c>
      <c r="F114" s="4">
        <v>844151695</v>
      </c>
      <c r="G114" s="6" t="s">
        <v>13</v>
      </c>
      <c r="H114" s="6" t="s">
        <v>13</v>
      </c>
      <c r="I114" s="6" t="s">
        <v>25</v>
      </c>
      <c r="J114" s="4"/>
      <c r="K114" s="7"/>
      <c r="L114" s="8">
        <v>0.02</v>
      </c>
      <c r="M114" s="4" t="s">
        <v>204</v>
      </c>
      <c r="N114" s="5" t="s">
        <v>77</v>
      </c>
      <c r="O114" s="4" t="s">
        <v>136</v>
      </c>
      <c r="P114" s="4" t="s">
        <v>7</v>
      </c>
      <c r="Q114" s="4" t="s">
        <v>445</v>
      </c>
    </row>
    <row r="115" spans="1:17" ht="17.25">
      <c r="A115" s="4">
        <f t="shared" si="10"/>
        <v>114</v>
      </c>
      <c r="B115" s="4" t="s">
        <v>205</v>
      </c>
      <c r="C115" s="4" t="s">
        <v>241</v>
      </c>
      <c r="D115" s="4">
        <v>2000</v>
      </c>
      <c r="E115" s="4">
        <f t="shared" si="11"/>
        <v>25</v>
      </c>
      <c r="F115" s="4">
        <v>846209874</v>
      </c>
      <c r="G115" s="6" t="s">
        <v>13</v>
      </c>
      <c r="H115" s="6" t="s">
        <v>13</v>
      </c>
      <c r="I115" s="6" t="s">
        <v>25</v>
      </c>
      <c r="J115" s="4"/>
      <c r="K115" s="7">
        <v>350000</v>
      </c>
      <c r="L115" s="8">
        <v>0.02</v>
      </c>
      <c r="M115" s="4" t="s">
        <v>206</v>
      </c>
      <c r="N115" s="5" t="s">
        <v>77</v>
      </c>
      <c r="O115" s="4" t="s">
        <v>23</v>
      </c>
      <c r="P115" s="4" t="s">
        <v>7</v>
      </c>
      <c r="Q115" s="4" t="s">
        <v>207</v>
      </c>
    </row>
    <row r="116" spans="1:17" ht="17.25">
      <c r="A116" s="4">
        <f t="shared" si="10"/>
        <v>115</v>
      </c>
      <c r="B116" s="4" t="s">
        <v>208</v>
      </c>
      <c r="C116" s="4" t="s">
        <v>241</v>
      </c>
      <c r="D116" s="4"/>
      <c r="E116" s="4"/>
      <c r="F116" s="4">
        <v>876416999</v>
      </c>
      <c r="G116" s="6" t="s">
        <v>25</v>
      </c>
      <c r="H116" s="6" t="s">
        <v>25</v>
      </c>
      <c r="I116" s="6" t="s">
        <v>25</v>
      </c>
      <c r="J116" s="4"/>
      <c r="K116" s="7">
        <v>300000</v>
      </c>
      <c r="L116" s="8">
        <v>0.02</v>
      </c>
      <c r="M116" s="4" t="s">
        <v>418</v>
      </c>
      <c r="N116" s="5" t="s">
        <v>77</v>
      </c>
      <c r="O116" s="4" t="s">
        <v>23</v>
      </c>
      <c r="P116" s="4" t="s">
        <v>7</v>
      </c>
      <c r="Q116" s="4" t="s">
        <v>209</v>
      </c>
    </row>
    <row r="117" spans="1:17" ht="17.25">
      <c r="A117" s="4">
        <f t="shared" si="10"/>
        <v>116</v>
      </c>
      <c r="B117" s="4" t="s">
        <v>441</v>
      </c>
      <c r="C117" s="4" t="s">
        <v>127</v>
      </c>
      <c r="D117" s="4"/>
      <c r="E117" s="4"/>
      <c r="F117" s="4">
        <v>857679926</v>
      </c>
      <c r="G117" s="6" t="s">
        <v>25</v>
      </c>
      <c r="H117" s="6" t="s">
        <v>25</v>
      </c>
      <c r="I117" s="6" t="s">
        <v>25</v>
      </c>
      <c r="J117" s="4">
        <v>2</v>
      </c>
      <c r="K117" s="7">
        <v>4900000</v>
      </c>
      <c r="L117" s="8">
        <v>0.02</v>
      </c>
      <c r="M117" s="10" t="s">
        <v>442</v>
      </c>
      <c r="N117" s="5" t="s">
        <v>77</v>
      </c>
      <c r="O117" s="4" t="s">
        <v>23</v>
      </c>
      <c r="P117" s="4" t="s">
        <v>7</v>
      </c>
      <c r="Q117" s="4" t="s">
        <v>209</v>
      </c>
    </row>
    <row r="118" spans="1:17" ht="17.25">
      <c r="A118" s="4">
        <f t="shared" si="10"/>
        <v>117</v>
      </c>
      <c r="B118" s="4" t="s">
        <v>210</v>
      </c>
      <c r="C118" s="4" t="s">
        <v>241</v>
      </c>
      <c r="D118" s="4">
        <v>1995</v>
      </c>
      <c r="E118" s="4">
        <f t="shared" si="11"/>
        <v>30</v>
      </c>
      <c r="F118" s="4">
        <v>843612751</v>
      </c>
      <c r="G118" s="6" t="s">
        <v>13</v>
      </c>
      <c r="H118" s="6" t="s">
        <v>25</v>
      </c>
      <c r="I118" s="6" t="s">
        <v>25</v>
      </c>
      <c r="J118" s="4"/>
      <c r="K118" s="7">
        <v>508000</v>
      </c>
      <c r="L118" s="8">
        <v>0.02</v>
      </c>
      <c r="M118" s="4" t="s">
        <v>211</v>
      </c>
      <c r="N118" s="5" t="s">
        <v>77</v>
      </c>
      <c r="O118" s="4" t="s">
        <v>23</v>
      </c>
      <c r="P118" s="4" t="s">
        <v>7</v>
      </c>
      <c r="Q118" s="4" t="s">
        <v>200</v>
      </c>
    </row>
    <row r="119" spans="1:17" ht="17.25">
      <c r="A119" s="4">
        <f t="shared" si="10"/>
        <v>118</v>
      </c>
      <c r="B119" s="15" t="s">
        <v>212</v>
      </c>
      <c r="C119" s="4" t="s">
        <v>127</v>
      </c>
      <c r="D119" s="4">
        <v>1973</v>
      </c>
      <c r="E119" s="4">
        <f t="shared" si="11"/>
        <v>52</v>
      </c>
      <c r="F119" s="4">
        <v>870452182</v>
      </c>
      <c r="G119" s="6" t="s">
        <v>13</v>
      </c>
      <c r="H119" s="6" t="s">
        <v>13</v>
      </c>
      <c r="I119" s="6" t="s">
        <v>13</v>
      </c>
      <c r="J119" s="4"/>
      <c r="K119" s="7">
        <v>5000000</v>
      </c>
      <c r="L119" s="8">
        <v>0.02</v>
      </c>
      <c r="M119" s="4" t="s">
        <v>213</v>
      </c>
      <c r="N119" s="5" t="s">
        <v>19</v>
      </c>
      <c r="O119" s="4" t="s">
        <v>23</v>
      </c>
      <c r="P119" s="4" t="s">
        <v>6</v>
      </c>
      <c r="Q119" s="4"/>
    </row>
    <row r="120" spans="1:17" ht="17.25">
      <c r="A120" s="4">
        <f t="shared" si="10"/>
        <v>119</v>
      </c>
      <c r="B120" s="4" t="s">
        <v>214</v>
      </c>
      <c r="C120" s="4" t="s">
        <v>241</v>
      </c>
      <c r="D120" s="4"/>
      <c r="E120" s="4"/>
      <c r="F120" s="4">
        <v>842657068</v>
      </c>
      <c r="G120" s="6" t="s">
        <v>25</v>
      </c>
      <c r="H120" s="6" t="s">
        <v>25</v>
      </c>
      <c r="I120" s="6" t="s">
        <v>25</v>
      </c>
      <c r="J120" s="4"/>
      <c r="K120" s="7">
        <v>2000000</v>
      </c>
      <c r="L120" s="8">
        <v>0.02</v>
      </c>
      <c r="M120" s="4" t="s">
        <v>215</v>
      </c>
      <c r="N120" s="5" t="s">
        <v>19</v>
      </c>
      <c r="O120" s="4" t="s">
        <v>23</v>
      </c>
      <c r="P120" s="4" t="s">
        <v>7</v>
      </c>
      <c r="Q120" s="4" t="s">
        <v>449</v>
      </c>
    </row>
    <row r="121" spans="1:17" ht="17.25">
      <c r="A121" s="4">
        <f t="shared" si="10"/>
        <v>120</v>
      </c>
      <c r="B121" s="4" t="s">
        <v>216</v>
      </c>
      <c r="C121" s="4" t="s">
        <v>127</v>
      </c>
      <c r="D121" s="4">
        <v>1972</v>
      </c>
      <c r="E121" s="4">
        <f t="shared" si="11"/>
        <v>53</v>
      </c>
      <c r="F121" s="4">
        <v>869424821</v>
      </c>
      <c r="G121" s="6" t="s">
        <v>25</v>
      </c>
      <c r="H121" s="6" t="s">
        <v>25</v>
      </c>
      <c r="I121" s="6" t="s">
        <v>13</v>
      </c>
      <c r="J121" s="4"/>
      <c r="K121" s="7">
        <v>550000</v>
      </c>
      <c r="L121" s="8">
        <v>0.02</v>
      </c>
      <c r="M121" s="4" t="s">
        <v>217</v>
      </c>
      <c r="N121" s="5" t="s">
        <v>158</v>
      </c>
      <c r="O121" s="4" t="s">
        <v>23</v>
      </c>
      <c r="P121" s="4" t="s">
        <v>7</v>
      </c>
      <c r="Q121" s="4" t="s">
        <v>130</v>
      </c>
    </row>
    <row r="122" spans="1:17" ht="17.25">
      <c r="A122" s="4">
        <f t="shared" si="10"/>
        <v>121</v>
      </c>
      <c r="B122" s="4" t="s">
        <v>218</v>
      </c>
      <c r="C122" s="4" t="s">
        <v>241</v>
      </c>
      <c r="D122" s="4">
        <v>1990</v>
      </c>
      <c r="E122" s="4">
        <f t="shared" si="11"/>
        <v>35</v>
      </c>
      <c r="F122" s="4">
        <v>841394746</v>
      </c>
      <c r="G122" s="6" t="s">
        <v>13</v>
      </c>
      <c r="H122" s="6" t="s">
        <v>13</v>
      </c>
      <c r="I122" s="6" t="s">
        <v>13</v>
      </c>
      <c r="J122" s="4"/>
      <c r="K122" s="7">
        <v>800000</v>
      </c>
      <c r="L122" s="8">
        <v>0.02</v>
      </c>
      <c r="M122" s="4" t="s">
        <v>153</v>
      </c>
      <c r="N122" s="5" t="s">
        <v>19</v>
      </c>
      <c r="O122" s="4" t="s">
        <v>23</v>
      </c>
      <c r="P122" s="4" t="s">
        <v>6</v>
      </c>
      <c r="Q122" s="4" t="s">
        <v>91</v>
      </c>
    </row>
    <row r="123" spans="1:17" ht="17.25">
      <c r="A123" s="4">
        <f t="shared" si="10"/>
        <v>122</v>
      </c>
      <c r="B123" s="4" t="s">
        <v>219</v>
      </c>
      <c r="C123" s="4" t="s">
        <v>263</v>
      </c>
      <c r="D123" s="4">
        <v>1986</v>
      </c>
      <c r="E123" s="4">
        <f t="shared" si="11"/>
        <v>39</v>
      </c>
      <c r="F123" s="4">
        <v>842788041</v>
      </c>
      <c r="G123" s="6" t="s">
        <v>13</v>
      </c>
      <c r="H123" s="6" t="s">
        <v>13</v>
      </c>
      <c r="I123" s="6" t="s">
        <v>25</v>
      </c>
      <c r="J123" s="4"/>
      <c r="K123" s="7">
        <v>750000</v>
      </c>
      <c r="L123" s="8">
        <v>0.02</v>
      </c>
      <c r="M123" s="4" t="s">
        <v>220</v>
      </c>
      <c r="N123" s="5" t="s">
        <v>27</v>
      </c>
      <c r="O123" s="4" t="s">
        <v>23</v>
      </c>
      <c r="P123" s="4" t="s">
        <v>7</v>
      </c>
      <c r="Q123" s="4" t="s">
        <v>371</v>
      </c>
    </row>
    <row r="124" spans="1:17" ht="17.25">
      <c r="A124" s="4">
        <f t="shared" si="10"/>
        <v>123</v>
      </c>
      <c r="B124" s="4" t="s">
        <v>221</v>
      </c>
      <c r="C124" s="4" t="s">
        <v>263</v>
      </c>
      <c r="D124" s="4"/>
      <c r="E124" s="4"/>
      <c r="F124" s="4">
        <v>878926762</v>
      </c>
      <c r="G124" s="6" t="s">
        <v>25</v>
      </c>
      <c r="H124" s="6" t="s">
        <v>13</v>
      </c>
      <c r="I124" s="6" t="s">
        <v>25</v>
      </c>
      <c r="J124" s="4"/>
      <c r="K124" s="7"/>
      <c r="L124" s="8">
        <v>0.02</v>
      </c>
      <c r="M124" s="4" t="s">
        <v>94</v>
      </c>
      <c r="N124" s="5" t="s">
        <v>27</v>
      </c>
      <c r="O124" s="4" t="s">
        <v>136</v>
      </c>
      <c r="P124" s="4" t="s">
        <v>7</v>
      </c>
      <c r="Q124" s="4" t="s">
        <v>461</v>
      </c>
    </row>
    <row r="125" spans="1:17" ht="17.25">
      <c r="A125" s="4">
        <f t="shared" si="10"/>
        <v>124</v>
      </c>
      <c r="B125" s="4" t="s">
        <v>222</v>
      </c>
      <c r="C125" s="4" t="s">
        <v>241</v>
      </c>
      <c r="D125" s="4">
        <v>2008</v>
      </c>
      <c r="E125" s="4">
        <f t="shared" si="11"/>
        <v>17</v>
      </c>
      <c r="F125" s="4">
        <v>867481529</v>
      </c>
      <c r="G125" s="6" t="s">
        <v>13</v>
      </c>
      <c r="H125" s="6" t="s">
        <v>25</v>
      </c>
      <c r="I125" s="6" t="s">
        <v>25</v>
      </c>
      <c r="J125" s="4">
        <v>4</v>
      </c>
      <c r="K125" s="7">
        <v>350000</v>
      </c>
      <c r="L125" s="8">
        <v>0.02</v>
      </c>
      <c r="M125" s="4" t="s">
        <v>223</v>
      </c>
      <c r="N125" s="5" t="s">
        <v>27</v>
      </c>
      <c r="O125" s="4" t="s">
        <v>23</v>
      </c>
      <c r="P125" s="4" t="s">
        <v>7</v>
      </c>
      <c r="Q125" s="4" t="s">
        <v>137</v>
      </c>
    </row>
    <row r="126" spans="1:17" ht="17.25">
      <c r="A126" s="4">
        <f t="shared" si="10"/>
        <v>125</v>
      </c>
      <c r="B126" s="4" t="s">
        <v>224</v>
      </c>
      <c r="C126" s="4" t="s">
        <v>241</v>
      </c>
      <c r="D126" s="4">
        <v>1983</v>
      </c>
      <c r="E126" s="4">
        <f t="shared" si="11"/>
        <v>42</v>
      </c>
      <c r="F126" s="4">
        <v>871560819</v>
      </c>
      <c r="G126" s="6" t="s">
        <v>13</v>
      </c>
      <c r="H126" s="6" t="s">
        <v>25</v>
      </c>
      <c r="I126" s="6" t="s">
        <v>25</v>
      </c>
      <c r="J126" s="4">
        <v>4</v>
      </c>
      <c r="K126" s="7">
        <v>980000</v>
      </c>
      <c r="L126" s="8">
        <v>0.02</v>
      </c>
      <c r="M126" s="4" t="s">
        <v>225</v>
      </c>
      <c r="N126" s="5" t="s">
        <v>27</v>
      </c>
      <c r="O126" s="4" t="s">
        <v>23</v>
      </c>
      <c r="P126" s="4" t="s">
        <v>7</v>
      </c>
      <c r="Q126" s="4" t="s">
        <v>137</v>
      </c>
    </row>
    <row r="127" spans="1:17" ht="17.25">
      <c r="A127" s="4">
        <f t="shared" si="10"/>
        <v>126</v>
      </c>
      <c r="B127" s="4" t="s">
        <v>226</v>
      </c>
      <c r="C127" s="4" t="s">
        <v>127</v>
      </c>
      <c r="D127" s="4">
        <v>1997</v>
      </c>
      <c r="E127" s="4">
        <f t="shared" si="11"/>
        <v>28</v>
      </c>
      <c r="F127" s="4">
        <v>835323527</v>
      </c>
      <c r="G127" s="6" t="s">
        <v>13</v>
      </c>
      <c r="H127" s="6" t="s">
        <v>25</v>
      </c>
      <c r="I127" s="6" t="s">
        <v>25</v>
      </c>
      <c r="J127" s="4">
        <v>3</v>
      </c>
      <c r="K127" s="7">
        <v>350000</v>
      </c>
      <c r="L127" s="8">
        <v>0.02</v>
      </c>
      <c r="M127" s="4" t="s">
        <v>94</v>
      </c>
      <c r="N127" s="5" t="s">
        <v>27</v>
      </c>
      <c r="O127" s="4" t="s">
        <v>23</v>
      </c>
      <c r="P127" s="4" t="s">
        <v>7</v>
      </c>
      <c r="Q127" s="4" t="s">
        <v>137</v>
      </c>
    </row>
    <row r="128" spans="1:17" ht="17.25">
      <c r="A128" s="4">
        <f t="shared" si="10"/>
        <v>127</v>
      </c>
      <c r="B128" s="4" t="s">
        <v>227</v>
      </c>
      <c r="C128" s="4" t="s">
        <v>127</v>
      </c>
      <c r="D128" s="4">
        <v>2002</v>
      </c>
      <c r="E128" s="4">
        <f t="shared" si="11"/>
        <v>23</v>
      </c>
      <c r="F128" s="4">
        <v>852623522</v>
      </c>
      <c r="G128" s="6" t="s">
        <v>13</v>
      </c>
      <c r="H128" s="6" t="s">
        <v>25</v>
      </c>
      <c r="I128" s="6" t="s">
        <v>25</v>
      </c>
      <c r="J128" s="4">
        <v>2</v>
      </c>
      <c r="K128" s="7">
        <v>168000</v>
      </c>
      <c r="L128" s="8">
        <v>0.02</v>
      </c>
      <c r="M128" s="4" t="s">
        <v>141</v>
      </c>
      <c r="N128" s="5" t="s">
        <v>77</v>
      </c>
      <c r="O128" s="4" t="s">
        <v>23</v>
      </c>
      <c r="P128" s="4" t="s">
        <v>7</v>
      </c>
      <c r="Q128" s="4" t="s">
        <v>180</v>
      </c>
    </row>
    <row r="129" spans="1:17" ht="17.25">
      <c r="A129" s="4">
        <f t="shared" si="10"/>
        <v>128</v>
      </c>
      <c r="B129" s="4" t="s">
        <v>228</v>
      </c>
      <c r="C129" s="4" t="s">
        <v>135</v>
      </c>
      <c r="D129" s="4">
        <v>1999</v>
      </c>
      <c r="E129" s="4">
        <f t="shared" si="11"/>
        <v>26</v>
      </c>
      <c r="F129" s="4">
        <v>864415936</v>
      </c>
      <c r="G129" s="6" t="s">
        <v>13</v>
      </c>
      <c r="H129" s="6" t="s">
        <v>13</v>
      </c>
      <c r="I129" s="6" t="s">
        <v>25</v>
      </c>
      <c r="J129" s="4"/>
      <c r="K129" s="7">
        <v>250000</v>
      </c>
      <c r="L129" s="8">
        <v>0.02</v>
      </c>
      <c r="M129" s="4" t="s">
        <v>94</v>
      </c>
      <c r="N129" s="5" t="s">
        <v>27</v>
      </c>
      <c r="O129" s="4" t="s">
        <v>23</v>
      </c>
      <c r="P129" s="4" t="s">
        <v>7</v>
      </c>
      <c r="Q129" s="4" t="s">
        <v>444</v>
      </c>
    </row>
    <row r="130" spans="1:17" ht="17.25">
      <c r="A130" s="4">
        <f t="shared" si="10"/>
        <v>129</v>
      </c>
      <c r="B130" s="4" t="s">
        <v>229</v>
      </c>
      <c r="C130" s="4" t="s">
        <v>127</v>
      </c>
      <c r="D130" s="4">
        <v>1985</v>
      </c>
      <c r="E130" s="4">
        <f t="shared" si="11"/>
        <v>40</v>
      </c>
      <c r="F130" s="4">
        <v>863314729</v>
      </c>
      <c r="G130" s="6" t="s">
        <v>13</v>
      </c>
      <c r="H130" s="6" t="s">
        <v>13</v>
      </c>
      <c r="I130" s="6" t="s">
        <v>13</v>
      </c>
      <c r="J130" s="4"/>
      <c r="K130" s="7">
        <v>700000</v>
      </c>
      <c r="L130" s="8">
        <v>0.02</v>
      </c>
      <c r="M130" s="4" t="s">
        <v>204</v>
      </c>
      <c r="N130" s="5" t="s">
        <v>77</v>
      </c>
      <c r="O130" s="4" t="s">
        <v>23</v>
      </c>
      <c r="P130" s="4" t="s">
        <v>6</v>
      </c>
      <c r="Q130" s="4"/>
    </row>
    <row r="131" spans="1:17" ht="17.25">
      <c r="A131" s="4">
        <f t="shared" si="10"/>
        <v>130</v>
      </c>
      <c r="B131" s="15" t="s">
        <v>230</v>
      </c>
      <c r="C131" s="4" t="s">
        <v>135</v>
      </c>
      <c r="D131" s="4">
        <v>1975</v>
      </c>
      <c r="E131" s="4">
        <f t="shared" si="11"/>
        <v>50</v>
      </c>
      <c r="F131" s="4">
        <v>847892393</v>
      </c>
      <c r="G131" s="6" t="s">
        <v>13</v>
      </c>
      <c r="H131" s="6" t="s">
        <v>13</v>
      </c>
      <c r="I131" s="6" t="s">
        <v>13</v>
      </c>
      <c r="J131" s="4"/>
      <c r="K131" s="7">
        <v>220000</v>
      </c>
      <c r="L131" s="8">
        <v>0.02</v>
      </c>
      <c r="M131" s="4" t="s">
        <v>94</v>
      </c>
      <c r="N131" s="5" t="s">
        <v>27</v>
      </c>
      <c r="O131" s="4" t="s">
        <v>23</v>
      </c>
      <c r="P131" s="4" t="s">
        <v>6</v>
      </c>
      <c r="Q131" s="4"/>
    </row>
    <row r="132" spans="1:17" ht="17.25">
      <c r="A132" s="4">
        <f t="shared" ref="A132:A195" si="12">A131+1</f>
        <v>131</v>
      </c>
      <c r="B132" s="4" t="s">
        <v>231</v>
      </c>
      <c r="C132" s="4" t="s">
        <v>241</v>
      </c>
      <c r="D132" s="4"/>
      <c r="E132" s="4"/>
      <c r="F132" s="4">
        <v>844794049</v>
      </c>
      <c r="G132" s="6" t="s">
        <v>25</v>
      </c>
      <c r="H132" s="6" t="s">
        <v>25</v>
      </c>
      <c r="I132" s="6" t="s">
        <v>25</v>
      </c>
      <c r="J132" s="4"/>
      <c r="K132" s="7">
        <v>100000</v>
      </c>
      <c r="L132" s="8">
        <v>0.02</v>
      </c>
      <c r="M132" s="4" t="s">
        <v>232</v>
      </c>
      <c r="N132" s="5" t="s">
        <v>77</v>
      </c>
      <c r="O132" s="4" t="s">
        <v>23</v>
      </c>
      <c r="P132" s="4" t="s">
        <v>7</v>
      </c>
      <c r="Q132" s="4" t="s">
        <v>209</v>
      </c>
    </row>
    <row r="133" spans="1:17" ht="17.25">
      <c r="A133" s="4">
        <f t="shared" si="12"/>
        <v>132</v>
      </c>
      <c r="B133" s="4" t="s">
        <v>233</v>
      </c>
      <c r="C133" s="4" t="s">
        <v>127</v>
      </c>
      <c r="D133" s="4">
        <v>2001</v>
      </c>
      <c r="E133" s="4">
        <f t="shared" si="11"/>
        <v>24</v>
      </c>
      <c r="F133" s="4">
        <v>861961283</v>
      </c>
      <c r="G133" s="6" t="s">
        <v>13</v>
      </c>
      <c r="H133" s="6" t="s">
        <v>13</v>
      </c>
      <c r="I133" s="6" t="s">
        <v>13</v>
      </c>
      <c r="J133" s="4"/>
      <c r="K133" s="7">
        <v>350000</v>
      </c>
      <c r="L133" s="8">
        <v>0.02</v>
      </c>
      <c r="M133" s="4" t="s">
        <v>94</v>
      </c>
      <c r="N133" s="5" t="s">
        <v>27</v>
      </c>
      <c r="O133" s="4" t="s">
        <v>23</v>
      </c>
      <c r="P133" s="4" t="s">
        <v>6</v>
      </c>
      <c r="Q133" s="4"/>
    </row>
    <row r="134" spans="1:17" ht="17.25">
      <c r="A134" s="4">
        <f t="shared" si="12"/>
        <v>133</v>
      </c>
      <c r="B134" s="4" t="s">
        <v>234</v>
      </c>
      <c r="C134" s="4" t="s">
        <v>241</v>
      </c>
      <c r="D134" s="4">
        <v>1997</v>
      </c>
      <c r="E134" s="4">
        <f t="shared" si="11"/>
        <v>28</v>
      </c>
      <c r="F134" s="4">
        <v>843724956</v>
      </c>
      <c r="G134" s="6" t="s">
        <v>25</v>
      </c>
      <c r="H134" s="6" t="s">
        <v>25</v>
      </c>
      <c r="I134" s="6" t="s">
        <v>25</v>
      </c>
      <c r="J134" s="4"/>
      <c r="K134" s="7">
        <v>150000</v>
      </c>
      <c r="L134" s="8">
        <v>0.02</v>
      </c>
      <c r="M134" s="4" t="s">
        <v>235</v>
      </c>
      <c r="N134" s="5" t="s">
        <v>27</v>
      </c>
      <c r="O134" s="4" t="s">
        <v>23</v>
      </c>
      <c r="P134" s="4" t="s">
        <v>7</v>
      </c>
      <c r="Q134" s="4" t="s">
        <v>209</v>
      </c>
    </row>
    <row r="135" spans="1:17" ht="17.25">
      <c r="A135" s="4">
        <f t="shared" si="12"/>
        <v>134</v>
      </c>
      <c r="B135" s="4" t="s">
        <v>236</v>
      </c>
      <c r="C135" s="4" t="s">
        <v>241</v>
      </c>
      <c r="D135" s="4"/>
      <c r="E135" s="4"/>
      <c r="F135" s="4">
        <v>847485978</v>
      </c>
      <c r="G135" s="6" t="s">
        <v>25</v>
      </c>
      <c r="H135" s="6" t="s">
        <v>25</v>
      </c>
      <c r="I135" s="6" t="s">
        <v>25</v>
      </c>
      <c r="J135" s="4"/>
      <c r="K135" s="7">
        <v>185000</v>
      </c>
      <c r="L135" s="8">
        <v>0.02</v>
      </c>
      <c r="M135" s="4" t="s">
        <v>237</v>
      </c>
      <c r="N135" s="5" t="s">
        <v>27</v>
      </c>
      <c r="O135" s="4" t="s">
        <v>23</v>
      </c>
      <c r="P135" s="4" t="s">
        <v>7</v>
      </c>
      <c r="Q135" s="4" t="s">
        <v>209</v>
      </c>
    </row>
    <row r="136" spans="1:17" ht="17.25">
      <c r="A136" s="4">
        <f t="shared" si="12"/>
        <v>135</v>
      </c>
      <c r="B136" s="4" t="s">
        <v>236</v>
      </c>
      <c r="C136" s="4" t="s">
        <v>241</v>
      </c>
      <c r="D136" s="4"/>
      <c r="E136" s="4"/>
      <c r="F136" s="4">
        <v>847485978</v>
      </c>
      <c r="G136" s="6" t="s">
        <v>25</v>
      </c>
      <c r="H136" s="6" t="s">
        <v>25</v>
      </c>
      <c r="I136" s="6" t="s">
        <v>25</v>
      </c>
      <c r="J136" s="4"/>
      <c r="K136" s="7">
        <v>100000</v>
      </c>
      <c r="L136" s="8">
        <v>0.02</v>
      </c>
      <c r="M136" s="4" t="s">
        <v>238</v>
      </c>
      <c r="N136" s="5" t="s">
        <v>27</v>
      </c>
      <c r="O136" s="4" t="s">
        <v>23</v>
      </c>
      <c r="P136" s="4" t="s">
        <v>7</v>
      </c>
      <c r="Q136" s="4" t="s">
        <v>209</v>
      </c>
    </row>
    <row r="137" spans="1:17" ht="17.25">
      <c r="A137" s="4">
        <f t="shared" si="12"/>
        <v>136</v>
      </c>
      <c r="B137" s="4" t="s">
        <v>236</v>
      </c>
      <c r="C137" s="4" t="s">
        <v>241</v>
      </c>
      <c r="D137" s="4"/>
      <c r="E137" s="4"/>
      <c r="F137" s="4">
        <v>847485979</v>
      </c>
      <c r="G137" s="6" t="s">
        <v>25</v>
      </c>
      <c r="H137" s="6" t="s">
        <v>25</v>
      </c>
      <c r="I137" s="6" t="s">
        <v>25</v>
      </c>
      <c r="J137" s="4"/>
      <c r="K137" s="7">
        <v>350000</v>
      </c>
      <c r="L137" s="8">
        <v>0.02</v>
      </c>
      <c r="M137" s="4" t="s">
        <v>167</v>
      </c>
      <c r="N137" s="5" t="s">
        <v>77</v>
      </c>
      <c r="O137" s="4" t="s">
        <v>23</v>
      </c>
      <c r="P137" s="4" t="s">
        <v>7</v>
      </c>
      <c r="Q137" s="4" t="s">
        <v>209</v>
      </c>
    </row>
    <row r="138" spans="1:17" ht="17.25">
      <c r="A138" s="4">
        <f t="shared" si="12"/>
        <v>137</v>
      </c>
      <c r="B138" s="4" t="s">
        <v>239</v>
      </c>
      <c r="C138" s="4" t="s">
        <v>127</v>
      </c>
      <c r="D138" s="4">
        <v>1993</v>
      </c>
      <c r="E138" s="4">
        <f t="shared" si="11"/>
        <v>32</v>
      </c>
      <c r="F138" s="4">
        <v>873431195</v>
      </c>
      <c r="G138" s="6" t="s">
        <v>13</v>
      </c>
      <c r="H138" s="6" t="s">
        <v>13</v>
      </c>
      <c r="I138" s="6" t="s">
        <v>13</v>
      </c>
      <c r="J138" s="4"/>
      <c r="K138" s="7">
        <v>600000</v>
      </c>
      <c r="L138" s="8">
        <v>0.02</v>
      </c>
      <c r="M138" s="4" t="s">
        <v>153</v>
      </c>
      <c r="N138" s="5" t="s">
        <v>27</v>
      </c>
      <c r="O138" s="4" t="s">
        <v>23</v>
      </c>
      <c r="P138" s="4" t="s">
        <v>6</v>
      </c>
      <c r="Q138" s="4"/>
    </row>
    <row r="139" spans="1:17" ht="17.25">
      <c r="A139" s="4">
        <f t="shared" si="12"/>
        <v>138</v>
      </c>
      <c r="B139" s="4" t="s">
        <v>240</v>
      </c>
      <c r="C139" s="4" t="s">
        <v>241</v>
      </c>
      <c r="D139" s="4"/>
      <c r="E139" s="4"/>
      <c r="F139" s="4">
        <v>844249371</v>
      </c>
      <c r="G139" s="6" t="s">
        <v>25</v>
      </c>
      <c r="H139" s="6" t="s">
        <v>25</v>
      </c>
      <c r="I139" s="6" t="s">
        <v>25</v>
      </c>
      <c r="J139" s="4"/>
      <c r="K139" s="7">
        <v>200000</v>
      </c>
      <c r="L139" s="8">
        <v>0.02</v>
      </c>
      <c r="M139" s="4" t="s">
        <v>242</v>
      </c>
      <c r="N139" s="5" t="s">
        <v>27</v>
      </c>
      <c r="O139" s="4" t="s">
        <v>23</v>
      </c>
      <c r="P139" s="4" t="s">
        <v>7</v>
      </c>
      <c r="Q139" s="4" t="s">
        <v>209</v>
      </c>
    </row>
    <row r="140" spans="1:17" ht="17.25">
      <c r="A140" s="4">
        <f t="shared" si="12"/>
        <v>139</v>
      </c>
      <c r="B140" s="4" t="s">
        <v>243</v>
      </c>
      <c r="C140" s="4" t="s">
        <v>127</v>
      </c>
      <c r="D140" s="4">
        <v>1996</v>
      </c>
      <c r="E140" s="4">
        <f t="shared" ref="E140:E148" si="13">2025-D140</f>
        <v>29</v>
      </c>
      <c r="F140" s="4">
        <v>862030100</v>
      </c>
      <c r="G140" s="6" t="s">
        <v>13</v>
      </c>
      <c r="H140" s="6" t="s">
        <v>25</v>
      </c>
      <c r="I140" s="6" t="s">
        <v>25</v>
      </c>
      <c r="J140" s="4">
        <v>4</v>
      </c>
      <c r="K140" s="7">
        <v>635000</v>
      </c>
      <c r="L140" s="8">
        <v>0.02</v>
      </c>
      <c r="M140" s="4" t="s">
        <v>94</v>
      </c>
      <c r="N140" s="5" t="s">
        <v>27</v>
      </c>
      <c r="O140" s="4" t="s">
        <v>23</v>
      </c>
      <c r="P140" s="4" t="s">
        <v>7</v>
      </c>
      <c r="Q140" s="4" t="s">
        <v>144</v>
      </c>
    </row>
    <row r="141" spans="1:17" ht="17.25">
      <c r="A141" s="4">
        <f t="shared" si="12"/>
        <v>140</v>
      </c>
      <c r="B141" s="4" t="s">
        <v>244</v>
      </c>
      <c r="C141" s="4" t="s">
        <v>127</v>
      </c>
      <c r="D141" s="4">
        <v>1998</v>
      </c>
      <c r="E141" s="4">
        <f t="shared" si="13"/>
        <v>27</v>
      </c>
      <c r="F141" s="4">
        <v>864698123</v>
      </c>
      <c r="G141" s="6" t="s">
        <v>13</v>
      </c>
      <c r="H141" s="6" t="s">
        <v>25</v>
      </c>
      <c r="I141" s="6" t="s">
        <v>25</v>
      </c>
      <c r="J141" s="4">
        <v>2</v>
      </c>
      <c r="K141" s="7">
        <v>105000</v>
      </c>
      <c r="L141" s="8">
        <v>0.02</v>
      </c>
      <c r="M141" s="4" t="s">
        <v>94</v>
      </c>
      <c r="N141" s="5" t="s">
        <v>27</v>
      </c>
      <c r="O141" s="4" t="s">
        <v>23</v>
      </c>
      <c r="P141" s="4" t="s">
        <v>7</v>
      </c>
      <c r="Q141" s="4" t="s">
        <v>180</v>
      </c>
    </row>
    <row r="142" spans="1:17" ht="17.25">
      <c r="A142" s="4">
        <f t="shared" si="12"/>
        <v>141</v>
      </c>
      <c r="B142" s="4" t="s">
        <v>245</v>
      </c>
      <c r="C142" s="4" t="s">
        <v>127</v>
      </c>
      <c r="D142" s="4">
        <v>2003</v>
      </c>
      <c r="E142" s="4">
        <f t="shared" si="13"/>
        <v>22</v>
      </c>
      <c r="F142" s="4">
        <v>864643968</v>
      </c>
      <c r="G142" s="6" t="s">
        <v>13</v>
      </c>
      <c r="H142" s="6" t="s">
        <v>13</v>
      </c>
      <c r="I142" s="6" t="s">
        <v>13</v>
      </c>
      <c r="J142" s="4"/>
      <c r="K142" s="7">
        <v>635000</v>
      </c>
      <c r="L142" s="8">
        <v>0.02</v>
      </c>
      <c r="M142" s="4" t="s">
        <v>246</v>
      </c>
      <c r="N142" s="5" t="s">
        <v>77</v>
      </c>
      <c r="O142" s="4" t="s">
        <v>23</v>
      </c>
      <c r="P142" s="4" t="s">
        <v>6</v>
      </c>
      <c r="Q142" s="4"/>
    </row>
    <row r="143" spans="1:17" ht="17.25">
      <c r="A143" s="4">
        <f t="shared" si="12"/>
        <v>142</v>
      </c>
      <c r="B143" s="4" t="s">
        <v>247</v>
      </c>
      <c r="C143" s="4" t="s">
        <v>127</v>
      </c>
      <c r="D143" s="4">
        <v>1989</v>
      </c>
      <c r="E143" s="4">
        <f t="shared" si="13"/>
        <v>36</v>
      </c>
      <c r="F143" s="4">
        <v>878317893</v>
      </c>
      <c r="G143" s="6" t="s">
        <v>25</v>
      </c>
      <c r="H143" s="6" t="s">
        <v>25</v>
      </c>
      <c r="I143" s="6" t="s">
        <v>25</v>
      </c>
      <c r="J143" s="4">
        <v>4</v>
      </c>
      <c r="K143" s="7">
        <v>450000</v>
      </c>
      <c r="L143" s="8">
        <v>0.02</v>
      </c>
      <c r="M143" s="4" t="s">
        <v>248</v>
      </c>
      <c r="N143" s="5" t="s">
        <v>27</v>
      </c>
      <c r="O143" s="4" t="s">
        <v>23</v>
      </c>
      <c r="P143" s="4" t="s">
        <v>7</v>
      </c>
      <c r="Q143" s="4" t="s">
        <v>144</v>
      </c>
    </row>
    <row r="144" spans="1:17" ht="17.25">
      <c r="A144" s="4">
        <f t="shared" si="12"/>
        <v>143</v>
      </c>
      <c r="B144" s="4" t="s">
        <v>249</v>
      </c>
      <c r="C144" s="4" t="s">
        <v>135</v>
      </c>
      <c r="D144" s="4">
        <v>1995</v>
      </c>
      <c r="E144" s="4">
        <f t="shared" si="13"/>
        <v>30</v>
      </c>
      <c r="F144" s="4">
        <v>870370019</v>
      </c>
      <c r="G144" s="6" t="s">
        <v>13</v>
      </c>
      <c r="H144" s="6" t="s">
        <v>13</v>
      </c>
      <c r="I144" s="6" t="s">
        <v>13</v>
      </c>
      <c r="J144" s="4"/>
      <c r="K144" s="7">
        <v>3924580</v>
      </c>
      <c r="L144" s="8">
        <v>0.02</v>
      </c>
      <c r="M144" s="4" t="s">
        <v>250</v>
      </c>
      <c r="N144" s="5" t="s">
        <v>158</v>
      </c>
      <c r="O144" s="4" t="s">
        <v>23</v>
      </c>
      <c r="P144" s="4" t="s">
        <v>6</v>
      </c>
      <c r="Q144" s="4"/>
    </row>
    <row r="145" spans="1:17" ht="17.25">
      <c r="A145" s="4">
        <f t="shared" si="12"/>
        <v>144</v>
      </c>
      <c r="B145" s="4" t="s">
        <v>251</v>
      </c>
      <c r="C145" s="4" t="s">
        <v>127</v>
      </c>
      <c r="D145" s="4">
        <v>1987</v>
      </c>
      <c r="E145" s="4">
        <f t="shared" si="13"/>
        <v>38</v>
      </c>
      <c r="F145" s="4">
        <v>874867780</v>
      </c>
      <c r="G145" s="6" t="s">
        <v>13</v>
      </c>
      <c r="H145" s="6" t="s">
        <v>25</v>
      </c>
      <c r="I145" s="6" t="s">
        <v>13</v>
      </c>
      <c r="J145" s="4"/>
      <c r="K145" s="7"/>
      <c r="L145" s="8">
        <v>0.02</v>
      </c>
      <c r="M145" s="4" t="s">
        <v>252</v>
      </c>
      <c r="N145" s="5" t="s">
        <v>27</v>
      </c>
      <c r="O145" s="4" t="s">
        <v>136</v>
      </c>
      <c r="P145" s="4" t="s">
        <v>7</v>
      </c>
      <c r="Q145" s="4" t="s">
        <v>460</v>
      </c>
    </row>
    <row r="146" spans="1:17" ht="17.25">
      <c r="A146" s="4">
        <f t="shared" si="12"/>
        <v>145</v>
      </c>
      <c r="B146" s="4" t="s">
        <v>253</v>
      </c>
      <c r="C146" s="4" t="s">
        <v>127</v>
      </c>
      <c r="D146" s="4">
        <v>1987</v>
      </c>
      <c r="E146" s="4">
        <f t="shared" si="13"/>
        <v>38</v>
      </c>
      <c r="F146" s="4">
        <v>867841437</v>
      </c>
      <c r="G146" s="6" t="s">
        <v>13</v>
      </c>
      <c r="H146" s="6" t="s">
        <v>13</v>
      </c>
      <c r="I146" s="6" t="s">
        <v>25</v>
      </c>
      <c r="J146" s="4"/>
      <c r="K146" s="7">
        <v>1900000</v>
      </c>
      <c r="L146" s="8">
        <v>0.02</v>
      </c>
      <c r="M146" s="4" t="s">
        <v>254</v>
      </c>
      <c r="N146" s="5" t="s">
        <v>77</v>
      </c>
      <c r="O146" s="4" t="s">
        <v>23</v>
      </c>
      <c r="P146" s="4" t="s">
        <v>7</v>
      </c>
      <c r="Q146" s="4" t="s">
        <v>255</v>
      </c>
    </row>
    <row r="147" spans="1:17" ht="17.25">
      <c r="A147" s="4">
        <f t="shared" si="12"/>
        <v>146</v>
      </c>
      <c r="B147" s="4" t="s">
        <v>256</v>
      </c>
      <c r="C147" s="4" t="s">
        <v>127</v>
      </c>
      <c r="D147" s="4">
        <v>1996</v>
      </c>
      <c r="E147" s="4">
        <f t="shared" si="13"/>
        <v>29</v>
      </c>
      <c r="F147" s="4">
        <v>864207656</v>
      </c>
      <c r="G147" s="6" t="s">
        <v>13</v>
      </c>
      <c r="H147" s="6" t="s">
        <v>25</v>
      </c>
      <c r="I147" s="6" t="s">
        <v>25</v>
      </c>
      <c r="J147" s="4">
        <v>3</v>
      </c>
      <c r="K147" s="7">
        <v>1678000</v>
      </c>
      <c r="L147" s="8">
        <v>0.02</v>
      </c>
      <c r="M147" s="4" t="s">
        <v>257</v>
      </c>
      <c r="N147" s="5" t="s">
        <v>27</v>
      </c>
      <c r="O147" s="4" t="s">
        <v>23</v>
      </c>
      <c r="P147" s="4" t="s">
        <v>7</v>
      </c>
      <c r="Q147" s="4" t="s">
        <v>137</v>
      </c>
    </row>
    <row r="148" spans="1:17" ht="17.25">
      <c r="A148" s="4">
        <f t="shared" si="12"/>
        <v>147</v>
      </c>
      <c r="B148" s="4" t="s">
        <v>258</v>
      </c>
      <c r="C148" s="4" t="s">
        <v>127</v>
      </c>
      <c r="D148" s="4">
        <v>1989</v>
      </c>
      <c r="E148" s="4">
        <f t="shared" si="13"/>
        <v>36</v>
      </c>
      <c r="F148" s="4">
        <v>870452182</v>
      </c>
      <c r="G148" s="6" t="s">
        <v>13</v>
      </c>
      <c r="H148" s="6" t="s">
        <v>13</v>
      </c>
      <c r="I148" s="6" t="s">
        <v>13</v>
      </c>
      <c r="J148" s="4"/>
      <c r="K148" s="7">
        <v>700000</v>
      </c>
      <c r="L148" s="8">
        <v>0.02</v>
      </c>
      <c r="M148" s="4" t="s">
        <v>167</v>
      </c>
      <c r="N148" s="5" t="s">
        <v>77</v>
      </c>
      <c r="O148" s="4" t="s">
        <v>23</v>
      </c>
      <c r="P148" s="4" t="s">
        <v>6</v>
      </c>
      <c r="Q148" s="4"/>
    </row>
    <row r="149" spans="1:17" ht="17.25">
      <c r="A149" s="4">
        <f t="shared" si="12"/>
        <v>148</v>
      </c>
      <c r="B149" s="4" t="s">
        <v>259</v>
      </c>
      <c r="C149" s="4" t="s">
        <v>263</v>
      </c>
      <c r="D149" s="4">
        <v>1985</v>
      </c>
      <c r="E149" s="4">
        <f t="shared" ref="E149:E155" si="14">2025-D149</f>
        <v>40</v>
      </c>
      <c r="F149" s="4">
        <v>843013148</v>
      </c>
      <c r="G149" s="6" t="s">
        <v>13</v>
      </c>
      <c r="H149" s="6" t="s">
        <v>13</v>
      </c>
      <c r="I149" s="6" t="s">
        <v>25</v>
      </c>
      <c r="J149" s="4"/>
      <c r="K149" s="7">
        <v>1400000</v>
      </c>
      <c r="L149" s="8">
        <v>0.02</v>
      </c>
      <c r="M149" s="4" t="s">
        <v>260</v>
      </c>
      <c r="N149" s="5" t="s">
        <v>27</v>
      </c>
      <c r="O149" s="4" t="s">
        <v>23</v>
      </c>
      <c r="P149" s="4" t="s">
        <v>7</v>
      </c>
      <c r="Q149" s="4" t="s">
        <v>261</v>
      </c>
    </row>
    <row r="150" spans="1:17" ht="17.25">
      <c r="A150" s="4">
        <f t="shared" si="12"/>
        <v>149</v>
      </c>
      <c r="B150" s="4" t="s">
        <v>262</v>
      </c>
      <c r="C150" s="4" t="s">
        <v>263</v>
      </c>
      <c r="D150" s="4">
        <v>1989</v>
      </c>
      <c r="E150" s="4">
        <f t="shared" si="14"/>
        <v>36</v>
      </c>
      <c r="F150" s="4">
        <v>863912797</v>
      </c>
      <c r="G150" s="6" t="s">
        <v>13</v>
      </c>
      <c r="H150" s="6" t="s">
        <v>13</v>
      </c>
      <c r="I150" s="6" t="s">
        <v>25</v>
      </c>
      <c r="J150" s="4">
        <v>3</v>
      </c>
      <c r="K150" s="7">
        <v>150000</v>
      </c>
      <c r="L150" s="8">
        <v>0.02</v>
      </c>
      <c r="M150" s="4" t="s">
        <v>418</v>
      </c>
      <c r="N150" s="5" t="s">
        <v>77</v>
      </c>
      <c r="O150" s="4" t="s">
        <v>23</v>
      </c>
      <c r="P150" s="4" t="s">
        <v>7</v>
      </c>
      <c r="Q150" s="4" t="s">
        <v>264</v>
      </c>
    </row>
    <row r="151" spans="1:17" ht="17.25">
      <c r="A151" s="4">
        <f t="shared" si="12"/>
        <v>150</v>
      </c>
      <c r="B151" s="4" t="s">
        <v>265</v>
      </c>
      <c r="C151" s="4" t="s">
        <v>127</v>
      </c>
      <c r="D151" s="4">
        <v>1986</v>
      </c>
      <c r="E151" s="4">
        <f t="shared" si="14"/>
        <v>39</v>
      </c>
      <c r="F151" s="4">
        <v>872901691</v>
      </c>
      <c r="G151" s="6" t="s">
        <v>13</v>
      </c>
      <c r="H151" s="6" t="s">
        <v>13</v>
      </c>
      <c r="I151" s="6" t="s">
        <v>13</v>
      </c>
      <c r="J151" s="4"/>
      <c r="K151" s="7">
        <v>300000</v>
      </c>
      <c r="L151" s="8">
        <v>0.02</v>
      </c>
      <c r="M151" s="4" t="s">
        <v>266</v>
      </c>
      <c r="N151" s="5" t="s">
        <v>27</v>
      </c>
      <c r="O151" s="4" t="s">
        <v>23</v>
      </c>
      <c r="P151" s="4" t="s">
        <v>6</v>
      </c>
      <c r="Q151" s="4"/>
    </row>
    <row r="152" spans="1:17" ht="17.25">
      <c r="A152" s="4">
        <f t="shared" si="12"/>
        <v>151</v>
      </c>
      <c r="B152" s="15" t="s">
        <v>267</v>
      </c>
      <c r="C152" s="4" t="s">
        <v>127</v>
      </c>
      <c r="D152" s="4">
        <v>1997</v>
      </c>
      <c r="E152" s="4">
        <f t="shared" si="14"/>
        <v>28</v>
      </c>
      <c r="F152" s="4">
        <v>865056159</v>
      </c>
      <c r="G152" s="6" t="s">
        <v>13</v>
      </c>
      <c r="H152" s="6" t="s">
        <v>13</v>
      </c>
      <c r="I152" s="6" t="s">
        <v>13</v>
      </c>
      <c r="J152" s="4"/>
      <c r="K152" s="7">
        <v>180000</v>
      </c>
      <c r="L152" s="8">
        <v>0.02</v>
      </c>
      <c r="M152" s="4" t="s">
        <v>268</v>
      </c>
      <c r="N152" s="5" t="s">
        <v>27</v>
      </c>
      <c r="O152" s="4" t="s">
        <v>23</v>
      </c>
      <c r="P152" s="4" t="s">
        <v>6</v>
      </c>
      <c r="Q152" s="4"/>
    </row>
    <row r="153" spans="1:17" ht="17.25">
      <c r="A153" s="4">
        <f t="shared" si="12"/>
        <v>152</v>
      </c>
      <c r="B153" s="4" t="s">
        <v>269</v>
      </c>
      <c r="C153" s="4" t="s">
        <v>127</v>
      </c>
      <c r="D153" s="4">
        <v>1975</v>
      </c>
      <c r="E153" s="4">
        <f t="shared" si="14"/>
        <v>50</v>
      </c>
      <c r="F153" s="4">
        <v>846548340</v>
      </c>
      <c r="G153" s="6" t="s">
        <v>13</v>
      </c>
      <c r="H153" s="6" t="s">
        <v>13</v>
      </c>
      <c r="I153" s="6" t="s">
        <v>13</v>
      </c>
      <c r="J153" s="4"/>
      <c r="K153" s="7">
        <v>2000000</v>
      </c>
      <c r="L153" s="8">
        <v>0.02</v>
      </c>
      <c r="M153" s="4" t="s">
        <v>270</v>
      </c>
      <c r="N153" s="5" t="s">
        <v>27</v>
      </c>
      <c r="O153" s="4" t="s">
        <v>23</v>
      </c>
      <c r="P153" s="4" t="s">
        <v>6</v>
      </c>
      <c r="Q153" s="4"/>
    </row>
    <row r="154" spans="1:17" ht="17.25">
      <c r="A154" s="4">
        <f t="shared" si="12"/>
        <v>153</v>
      </c>
      <c r="B154" s="15" t="s">
        <v>271</v>
      </c>
      <c r="C154" s="4" t="s">
        <v>12</v>
      </c>
      <c r="D154" s="4">
        <v>1985</v>
      </c>
      <c r="E154" s="4">
        <f t="shared" si="14"/>
        <v>40</v>
      </c>
      <c r="F154" s="4">
        <v>861155898</v>
      </c>
      <c r="G154" s="6" t="s">
        <v>13</v>
      </c>
      <c r="H154" s="6" t="s">
        <v>13</v>
      </c>
      <c r="I154" s="6" t="s">
        <v>13</v>
      </c>
      <c r="J154" s="4"/>
      <c r="K154" s="7">
        <v>500000</v>
      </c>
      <c r="L154" s="8">
        <v>0.09</v>
      </c>
      <c r="M154" s="4" t="s">
        <v>157</v>
      </c>
      <c r="N154" s="5" t="s">
        <v>158</v>
      </c>
      <c r="O154" s="4" t="s">
        <v>23</v>
      </c>
      <c r="P154" s="4" t="s">
        <v>6</v>
      </c>
      <c r="Q154" s="4"/>
    </row>
    <row r="155" spans="1:17" ht="17.25">
      <c r="A155" s="4">
        <f t="shared" si="12"/>
        <v>154</v>
      </c>
      <c r="B155" s="4" t="s">
        <v>272</v>
      </c>
      <c r="C155" s="4" t="s">
        <v>135</v>
      </c>
      <c r="D155" s="4">
        <v>1981</v>
      </c>
      <c r="E155" s="4">
        <f t="shared" si="14"/>
        <v>44</v>
      </c>
      <c r="F155" s="4">
        <v>874644764</v>
      </c>
      <c r="G155" s="6" t="s">
        <v>13</v>
      </c>
      <c r="H155" s="6" t="s">
        <v>13</v>
      </c>
      <c r="I155" s="6" t="s">
        <v>25</v>
      </c>
      <c r="J155" s="4"/>
      <c r="K155" s="7">
        <v>300000</v>
      </c>
      <c r="L155" s="8">
        <v>0.02</v>
      </c>
      <c r="M155" s="4" t="s">
        <v>273</v>
      </c>
      <c r="N155" s="5" t="s">
        <v>27</v>
      </c>
      <c r="O155" s="4" t="s">
        <v>23</v>
      </c>
      <c r="P155" s="4" t="s">
        <v>7</v>
      </c>
      <c r="Q155" s="4" t="s">
        <v>261</v>
      </c>
    </row>
    <row r="156" spans="1:17" ht="17.25">
      <c r="A156" s="4">
        <f t="shared" si="12"/>
        <v>155</v>
      </c>
      <c r="B156" s="4" t="s">
        <v>274</v>
      </c>
      <c r="C156" s="4" t="s">
        <v>127</v>
      </c>
      <c r="D156" s="4"/>
      <c r="E156" s="4"/>
      <c r="F156" s="4">
        <v>846276743</v>
      </c>
      <c r="G156" s="6" t="s">
        <v>25</v>
      </c>
      <c r="H156" s="6" t="s">
        <v>25</v>
      </c>
      <c r="I156" s="6" t="s">
        <v>25</v>
      </c>
      <c r="J156" s="4"/>
      <c r="K156" s="7">
        <v>544000</v>
      </c>
      <c r="L156" s="8">
        <v>0.02</v>
      </c>
      <c r="M156" s="4" t="s">
        <v>260</v>
      </c>
      <c r="N156" s="5" t="s">
        <v>27</v>
      </c>
      <c r="O156" s="4" t="s">
        <v>23</v>
      </c>
      <c r="P156" s="4" t="s">
        <v>7</v>
      </c>
      <c r="Q156" s="4" t="s">
        <v>209</v>
      </c>
    </row>
    <row r="157" spans="1:17" ht="17.25">
      <c r="A157" s="4">
        <f t="shared" si="12"/>
        <v>156</v>
      </c>
      <c r="B157" s="4" t="s">
        <v>275</v>
      </c>
      <c r="C157" s="4" t="s">
        <v>127</v>
      </c>
      <c r="D157" s="4"/>
      <c r="E157" s="4"/>
      <c r="F157" s="4">
        <v>844917095</v>
      </c>
      <c r="G157" s="6" t="s">
        <v>25</v>
      </c>
      <c r="H157" s="6" t="s">
        <v>25</v>
      </c>
      <c r="I157" s="6" t="s">
        <v>25</v>
      </c>
      <c r="J157" s="4">
        <v>2</v>
      </c>
      <c r="K157" s="7">
        <v>1500000</v>
      </c>
      <c r="L157" s="8">
        <v>0.02</v>
      </c>
      <c r="M157" s="4" t="s">
        <v>276</v>
      </c>
      <c r="N157" s="5" t="s">
        <v>27</v>
      </c>
      <c r="O157" s="4" t="s">
        <v>23</v>
      </c>
      <c r="P157" s="4" t="s">
        <v>7</v>
      </c>
      <c r="Q157" s="4" t="s">
        <v>277</v>
      </c>
    </row>
    <row r="158" spans="1:17" ht="17.25">
      <c r="A158" s="4">
        <f t="shared" si="12"/>
        <v>157</v>
      </c>
      <c r="B158" s="4" t="s">
        <v>278</v>
      </c>
      <c r="C158" s="4" t="s">
        <v>263</v>
      </c>
      <c r="D158" s="4"/>
      <c r="E158" s="4"/>
      <c r="F158" s="4">
        <v>840554554</v>
      </c>
      <c r="G158" s="6" t="s">
        <v>25</v>
      </c>
      <c r="H158" s="6" t="s">
        <v>25</v>
      </c>
      <c r="I158" s="6" t="s">
        <v>25</v>
      </c>
      <c r="J158" s="4"/>
      <c r="K158" s="7">
        <v>900000</v>
      </c>
      <c r="L158" s="8">
        <v>0.02</v>
      </c>
      <c r="M158" s="4" t="s">
        <v>279</v>
      </c>
      <c r="N158" s="5" t="s">
        <v>27</v>
      </c>
      <c r="O158" s="4" t="s">
        <v>23</v>
      </c>
      <c r="P158" s="4" t="s">
        <v>7</v>
      </c>
      <c r="Q158" s="4" t="s">
        <v>281</v>
      </c>
    </row>
    <row r="159" spans="1:17" ht="17.25">
      <c r="A159" s="4">
        <f t="shared" si="12"/>
        <v>158</v>
      </c>
      <c r="B159" s="4" t="s">
        <v>280</v>
      </c>
      <c r="C159" s="4" t="s">
        <v>135</v>
      </c>
      <c r="D159" s="4">
        <v>1997</v>
      </c>
      <c r="E159" s="4">
        <f t="shared" ref="E159:E160" si="15">2025-D159</f>
        <v>28</v>
      </c>
      <c r="F159" s="4">
        <v>875106331</v>
      </c>
      <c r="G159" s="6" t="s">
        <v>13</v>
      </c>
      <c r="H159" s="6" t="s">
        <v>13</v>
      </c>
      <c r="I159" s="6" t="s">
        <v>25</v>
      </c>
      <c r="J159" s="4"/>
      <c r="K159" s="7">
        <v>85000</v>
      </c>
      <c r="L159" s="8">
        <v>0.02</v>
      </c>
      <c r="M159" s="4" t="s">
        <v>195</v>
      </c>
      <c r="N159" s="5" t="s">
        <v>77</v>
      </c>
      <c r="O159" s="4" t="s">
        <v>23</v>
      </c>
      <c r="P159" s="4" t="s">
        <v>7</v>
      </c>
      <c r="Q159" s="4" t="s">
        <v>261</v>
      </c>
    </row>
    <row r="160" spans="1:17" ht="17.25">
      <c r="A160" s="4">
        <f t="shared" si="12"/>
        <v>159</v>
      </c>
      <c r="B160" s="4" t="s">
        <v>282</v>
      </c>
      <c r="C160" s="4" t="s">
        <v>127</v>
      </c>
      <c r="D160" s="4">
        <v>2001</v>
      </c>
      <c r="E160" s="4">
        <f t="shared" si="15"/>
        <v>24</v>
      </c>
      <c r="F160" s="4">
        <v>866806942</v>
      </c>
      <c r="G160" s="6" t="s">
        <v>13</v>
      </c>
      <c r="H160" s="6" t="s">
        <v>13</v>
      </c>
      <c r="I160" s="6" t="s">
        <v>13</v>
      </c>
      <c r="J160" s="4"/>
      <c r="K160" s="7">
        <v>66750</v>
      </c>
      <c r="L160" s="8">
        <v>0.02</v>
      </c>
      <c r="M160" s="4" t="s">
        <v>283</v>
      </c>
      <c r="N160" s="5" t="s">
        <v>77</v>
      </c>
      <c r="O160" s="4" t="s">
        <v>23</v>
      </c>
      <c r="P160" s="4" t="s">
        <v>6</v>
      </c>
      <c r="Q160" s="4"/>
    </row>
    <row r="161" spans="1:17" ht="17.25">
      <c r="A161" s="4">
        <f t="shared" si="12"/>
        <v>160</v>
      </c>
      <c r="B161" s="4" t="s">
        <v>284</v>
      </c>
      <c r="C161" s="4" t="s">
        <v>127</v>
      </c>
      <c r="D161" s="4">
        <v>1987</v>
      </c>
      <c r="E161" s="4">
        <f>2025-D161</f>
        <v>38</v>
      </c>
      <c r="F161" s="4">
        <v>840764441</v>
      </c>
      <c r="G161" s="6" t="s">
        <v>13</v>
      </c>
      <c r="H161" s="6" t="s">
        <v>13</v>
      </c>
      <c r="I161" s="6" t="s">
        <v>13</v>
      </c>
      <c r="J161" s="4"/>
      <c r="K161" s="7">
        <v>2000000</v>
      </c>
      <c r="L161" s="8">
        <v>0.02</v>
      </c>
      <c r="M161" s="4" t="s">
        <v>285</v>
      </c>
      <c r="N161" s="5" t="s">
        <v>77</v>
      </c>
      <c r="O161" s="4" t="s">
        <v>23</v>
      </c>
      <c r="P161" s="4" t="s">
        <v>6</v>
      </c>
      <c r="Q161" s="4"/>
    </row>
    <row r="162" spans="1:17" ht="17.25">
      <c r="A162" s="4">
        <f t="shared" si="12"/>
        <v>161</v>
      </c>
      <c r="B162" s="4" t="s">
        <v>286</v>
      </c>
      <c r="C162" s="4" t="s">
        <v>135</v>
      </c>
      <c r="D162" s="4">
        <v>1986</v>
      </c>
      <c r="E162" s="4">
        <f t="shared" ref="E162:E231" si="16">2025-D162</f>
        <v>39</v>
      </c>
      <c r="F162" s="4">
        <v>877908001</v>
      </c>
      <c r="G162" s="6" t="s">
        <v>13</v>
      </c>
      <c r="H162" s="6" t="s">
        <v>13</v>
      </c>
      <c r="I162" s="6" t="s">
        <v>13</v>
      </c>
      <c r="J162" s="4"/>
      <c r="K162" s="7">
        <v>2000000</v>
      </c>
      <c r="L162" s="8">
        <v>0.02</v>
      </c>
      <c r="M162" s="4" t="s">
        <v>153</v>
      </c>
      <c r="N162" s="5" t="s">
        <v>27</v>
      </c>
      <c r="O162" s="4" t="s">
        <v>23</v>
      </c>
      <c r="P162" s="4" t="s">
        <v>6</v>
      </c>
      <c r="Q162" s="4"/>
    </row>
    <row r="163" spans="1:17" ht="17.25">
      <c r="A163" s="4">
        <f t="shared" si="12"/>
        <v>162</v>
      </c>
      <c r="B163" s="15" t="s">
        <v>287</v>
      </c>
      <c r="C163" s="4" t="s">
        <v>127</v>
      </c>
      <c r="D163" s="4">
        <v>1993</v>
      </c>
      <c r="E163" s="4">
        <f t="shared" si="16"/>
        <v>32</v>
      </c>
      <c r="F163" s="4">
        <v>865169833</v>
      </c>
      <c r="G163" s="6" t="s">
        <v>13</v>
      </c>
      <c r="H163" s="6" t="s">
        <v>13</v>
      </c>
      <c r="I163" s="6" t="s">
        <v>13</v>
      </c>
      <c r="J163" s="4"/>
      <c r="K163" s="7">
        <v>800000</v>
      </c>
      <c r="L163" s="8">
        <v>0.02</v>
      </c>
      <c r="M163" s="4" t="s">
        <v>94</v>
      </c>
      <c r="N163" s="5" t="s">
        <v>27</v>
      </c>
      <c r="O163" s="4" t="s">
        <v>23</v>
      </c>
      <c r="P163" s="4" t="s">
        <v>6</v>
      </c>
      <c r="Q163" s="4"/>
    </row>
    <row r="164" spans="1:17" ht="17.25">
      <c r="A164" s="4">
        <f t="shared" si="12"/>
        <v>163</v>
      </c>
      <c r="B164" s="15" t="s">
        <v>288</v>
      </c>
      <c r="C164" s="4" t="s">
        <v>127</v>
      </c>
      <c r="D164" s="4">
        <v>1995</v>
      </c>
      <c r="E164" s="4">
        <f t="shared" si="16"/>
        <v>30</v>
      </c>
      <c r="F164" s="4">
        <v>878964992</v>
      </c>
      <c r="G164" s="6" t="s">
        <v>13</v>
      </c>
      <c r="H164" s="6" t="s">
        <v>13</v>
      </c>
      <c r="I164" s="6" t="s">
        <v>13</v>
      </c>
      <c r="J164" s="4"/>
      <c r="K164" s="7">
        <v>110400</v>
      </c>
      <c r="L164" s="8">
        <v>0.02</v>
      </c>
      <c r="M164" s="4" t="s">
        <v>186</v>
      </c>
      <c r="N164" s="5" t="s">
        <v>158</v>
      </c>
      <c r="O164" s="4" t="s">
        <v>23</v>
      </c>
      <c r="P164" s="4" t="s">
        <v>6</v>
      </c>
      <c r="Q164" s="4"/>
    </row>
    <row r="165" spans="1:17" ht="17.25">
      <c r="A165" s="4">
        <f t="shared" si="12"/>
        <v>164</v>
      </c>
      <c r="B165" s="4" t="s">
        <v>289</v>
      </c>
      <c r="C165" s="4" t="s">
        <v>241</v>
      </c>
      <c r="D165" s="4"/>
      <c r="E165" s="4"/>
      <c r="F165" s="4">
        <v>846295274</v>
      </c>
      <c r="G165" s="6" t="s">
        <v>25</v>
      </c>
      <c r="H165" s="6" t="s">
        <v>25</v>
      </c>
      <c r="I165" s="6" t="s">
        <v>25</v>
      </c>
      <c r="J165" s="4"/>
      <c r="K165" s="7">
        <v>1000000</v>
      </c>
      <c r="L165" s="8">
        <v>0.02</v>
      </c>
      <c r="M165" s="4" t="s">
        <v>153</v>
      </c>
      <c r="N165" s="5" t="s">
        <v>27</v>
      </c>
      <c r="O165" s="4" t="s">
        <v>136</v>
      </c>
      <c r="P165" s="4" t="s">
        <v>7</v>
      </c>
      <c r="Q165" s="4" t="s">
        <v>290</v>
      </c>
    </row>
    <row r="166" spans="1:17" ht="17.25">
      <c r="A166" s="4">
        <f t="shared" si="12"/>
        <v>165</v>
      </c>
      <c r="B166" s="4" t="s">
        <v>289</v>
      </c>
      <c r="C166" s="4" t="s">
        <v>241</v>
      </c>
      <c r="D166" s="4"/>
      <c r="E166" s="4"/>
      <c r="F166" s="4">
        <v>846295275</v>
      </c>
      <c r="G166" s="6" t="s">
        <v>25</v>
      </c>
      <c r="H166" s="6" t="s">
        <v>25</v>
      </c>
      <c r="I166" s="6" t="s">
        <v>25</v>
      </c>
      <c r="J166" s="4"/>
      <c r="K166" s="7">
        <v>670000</v>
      </c>
      <c r="L166" s="8">
        <v>0.02</v>
      </c>
      <c r="M166" s="4" t="s">
        <v>186</v>
      </c>
      <c r="N166" s="5" t="s">
        <v>27</v>
      </c>
      <c r="O166" s="4" t="s">
        <v>23</v>
      </c>
      <c r="P166" s="4" t="s">
        <v>7</v>
      </c>
      <c r="Q166" s="4" t="s">
        <v>281</v>
      </c>
    </row>
    <row r="167" spans="1:17" ht="17.25">
      <c r="A167" s="4">
        <f t="shared" si="12"/>
        <v>166</v>
      </c>
      <c r="B167" s="4" t="s">
        <v>291</v>
      </c>
      <c r="C167" s="4" t="s">
        <v>127</v>
      </c>
      <c r="D167" s="4">
        <v>1996</v>
      </c>
      <c r="E167" s="4">
        <f t="shared" si="16"/>
        <v>29</v>
      </c>
      <c r="F167" s="4">
        <v>844616447</v>
      </c>
      <c r="G167" s="6" t="s">
        <v>13</v>
      </c>
      <c r="H167" s="6" t="s">
        <v>13</v>
      </c>
      <c r="I167" s="6" t="s">
        <v>13</v>
      </c>
      <c r="J167" s="4"/>
      <c r="K167" s="7">
        <v>1000000</v>
      </c>
      <c r="L167" s="8">
        <v>0.02</v>
      </c>
      <c r="M167" s="4" t="s">
        <v>94</v>
      </c>
      <c r="N167" s="5" t="s">
        <v>27</v>
      </c>
      <c r="O167" s="4" t="s">
        <v>23</v>
      </c>
      <c r="P167" s="4" t="s">
        <v>6</v>
      </c>
      <c r="Q167" s="4"/>
    </row>
    <row r="168" spans="1:17" ht="17.25">
      <c r="A168" s="4">
        <f t="shared" si="12"/>
        <v>167</v>
      </c>
      <c r="B168" s="15" t="s">
        <v>292</v>
      </c>
      <c r="C168" s="4" t="s">
        <v>127</v>
      </c>
      <c r="D168" s="4">
        <v>1993</v>
      </c>
      <c r="E168" s="4">
        <f t="shared" si="16"/>
        <v>32</v>
      </c>
      <c r="F168" s="4">
        <v>857684186</v>
      </c>
      <c r="G168" s="6" t="s">
        <v>13</v>
      </c>
      <c r="H168" s="6" t="s">
        <v>13</v>
      </c>
      <c r="I168" s="6" t="s">
        <v>13</v>
      </c>
      <c r="J168" s="4"/>
      <c r="K168" s="7">
        <v>100000</v>
      </c>
      <c r="L168" s="8">
        <v>0.02</v>
      </c>
      <c r="M168" s="4" t="s">
        <v>211</v>
      </c>
      <c r="N168" s="5" t="s">
        <v>77</v>
      </c>
      <c r="O168" s="4" t="s">
        <v>23</v>
      </c>
      <c r="P168" s="4" t="s">
        <v>6</v>
      </c>
      <c r="Q168" s="4"/>
    </row>
    <row r="169" spans="1:17" ht="17.25">
      <c r="A169" s="4">
        <f t="shared" si="12"/>
        <v>168</v>
      </c>
      <c r="B169" s="4" t="s">
        <v>293</v>
      </c>
      <c r="C169" s="4" t="s">
        <v>263</v>
      </c>
      <c r="D169" s="4">
        <v>1988</v>
      </c>
      <c r="E169" s="4">
        <f t="shared" si="16"/>
        <v>37</v>
      </c>
      <c r="F169" s="4">
        <v>853657119</v>
      </c>
      <c r="G169" s="6" t="s">
        <v>13</v>
      </c>
      <c r="H169" s="6" t="s">
        <v>13</v>
      </c>
      <c r="I169" s="6" t="s">
        <v>13</v>
      </c>
      <c r="J169" s="4"/>
      <c r="K169" s="7">
        <v>115000</v>
      </c>
      <c r="L169" s="8">
        <v>0.02</v>
      </c>
      <c r="M169" s="4" t="s">
        <v>167</v>
      </c>
      <c r="N169" s="5" t="s">
        <v>77</v>
      </c>
      <c r="O169" s="4" t="s">
        <v>23</v>
      </c>
      <c r="P169" s="4" t="s">
        <v>6</v>
      </c>
      <c r="Q169" s="4"/>
    </row>
    <row r="170" spans="1:17" ht="17.25">
      <c r="A170" s="4">
        <f t="shared" si="12"/>
        <v>169</v>
      </c>
      <c r="B170" s="4" t="s">
        <v>294</v>
      </c>
      <c r="C170" s="4" t="s">
        <v>12</v>
      </c>
      <c r="D170" s="4">
        <v>1984</v>
      </c>
      <c r="E170" s="4">
        <f t="shared" si="16"/>
        <v>41</v>
      </c>
      <c r="F170" s="4">
        <v>864417146</v>
      </c>
      <c r="G170" s="6" t="s">
        <v>13</v>
      </c>
      <c r="H170" s="6" t="s">
        <v>13</v>
      </c>
      <c r="I170" s="6" t="s">
        <v>25</v>
      </c>
      <c r="J170" s="4"/>
      <c r="K170" s="7">
        <v>400000</v>
      </c>
      <c r="L170" s="8">
        <v>0.09</v>
      </c>
      <c r="M170" s="4" t="s">
        <v>295</v>
      </c>
      <c r="N170" s="5" t="s">
        <v>27</v>
      </c>
      <c r="O170" s="4" t="s">
        <v>23</v>
      </c>
      <c r="P170" s="4" t="s">
        <v>7</v>
      </c>
      <c r="Q170" s="4" t="s">
        <v>296</v>
      </c>
    </row>
    <row r="171" spans="1:17" ht="17.25">
      <c r="A171" s="4">
        <f t="shared" si="12"/>
        <v>170</v>
      </c>
      <c r="B171" s="4" t="s">
        <v>297</v>
      </c>
      <c r="C171" s="4" t="s">
        <v>12</v>
      </c>
      <c r="D171" s="4">
        <v>1998</v>
      </c>
      <c r="E171" s="4">
        <f t="shared" si="16"/>
        <v>27</v>
      </c>
      <c r="F171" s="4">
        <v>864443403</v>
      </c>
      <c r="G171" s="6" t="s">
        <v>13</v>
      </c>
      <c r="H171" s="6" t="s">
        <v>13</v>
      </c>
      <c r="I171" s="6" t="s">
        <v>13</v>
      </c>
      <c r="J171" s="4"/>
      <c r="K171" s="7">
        <v>250000</v>
      </c>
      <c r="L171" s="8">
        <v>0.09</v>
      </c>
      <c r="M171" s="4" t="s">
        <v>94</v>
      </c>
      <c r="N171" s="5" t="s">
        <v>27</v>
      </c>
      <c r="O171" s="4" t="s">
        <v>23</v>
      </c>
      <c r="P171" s="4" t="s">
        <v>6</v>
      </c>
      <c r="Q171" s="4"/>
    </row>
    <row r="172" spans="1:17" ht="17.25">
      <c r="A172" s="4">
        <f t="shared" si="12"/>
        <v>171</v>
      </c>
      <c r="B172" s="4" t="s">
        <v>298</v>
      </c>
      <c r="C172" s="4" t="s">
        <v>127</v>
      </c>
      <c r="D172" s="4">
        <v>1990</v>
      </c>
      <c r="E172" s="4">
        <f t="shared" si="16"/>
        <v>35</v>
      </c>
      <c r="F172" s="4">
        <v>847757658</v>
      </c>
      <c r="G172" s="6" t="s">
        <v>13</v>
      </c>
      <c r="H172" s="6" t="s">
        <v>13</v>
      </c>
      <c r="I172" s="6" t="s">
        <v>13</v>
      </c>
      <c r="J172" s="4"/>
      <c r="K172" s="7">
        <v>750000</v>
      </c>
      <c r="L172" s="8">
        <v>0.02</v>
      </c>
      <c r="M172" s="4" t="s">
        <v>299</v>
      </c>
      <c r="N172" s="5" t="s">
        <v>158</v>
      </c>
      <c r="O172" s="4" t="s">
        <v>23</v>
      </c>
      <c r="P172" s="4" t="s">
        <v>6</v>
      </c>
      <c r="Q172" s="4"/>
    </row>
    <row r="173" spans="1:17" ht="17.25">
      <c r="A173" s="4">
        <f t="shared" si="12"/>
        <v>172</v>
      </c>
      <c r="B173" s="4" t="s">
        <v>301</v>
      </c>
      <c r="C173" s="4" t="s">
        <v>127</v>
      </c>
      <c r="D173" s="4">
        <v>2002</v>
      </c>
      <c r="E173" s="4">
        <f t="shared" si="16"/>
        <v>23</v>
      </c>
      <c r="F173" s="4">
        <v>868042011</v>
      </c>
      <c r="G173" s="6" t="s">
        <v>13</v>
      </c>
      <c r="H173" s="6" t="s">
        <v>25</v>
      </c>
      <c r="I173" s="6" t="s">
        <v>25</v>
      </c>
      <c r="J173" s="4">
        <v>3</v>
      </c>
      <c r="K173" s="7">
        <v>595000</v>
      </c>
      <c r="L173" s="8">
        <v>0.02</v>
      </c>
      <c r="M173" s="4" t="s">
        <v>300</v>
      </c>
      <c r="N173" s="5" t="s">
        <v>32</v>
      </c>
      <c r="O173" s="4" t="s">
        <v>23</v>
      </c>
      <c r="P173" s="4" t="s">
        <v>7</v>
      </c>
      <c r="Q173" s="4" t="s">
        <v>180</v>
      </c>
    </row>
    <row r="174" spans="1:17" ht="17.25">
      <c r="A174" s="4">
        <f t="shared" si="12"/>
        <v>173</v>
      </c>
      <c r="B174" s="4" t="s">
        <v>303</v>
      </c>
      <c r="C174" s="4" t="s">
        <v>127</v>
      </c>
      <c r="D174" s="4">
        <v>1989</v>
      </c>
      <c r="E174" s="4">
        <f t="shared" si="16"/>
        <v>36</v>
      </c>
      <c r="F174" s="4">
        <v>844384304</v>
      </c>
      <c r="G174" s="6" t="s">
        <v>13</v>
      </c>
      <c r="H174" s="6" t="s">
        <v>13</v>
      </c>
      <c r="I174" s="6" t="s">
        <v>25</v>
      </c>
      <c r="J174" s="4">
        <v>3</v>
      </c>
      <c r="K174" s="7">
        <v>1500000</v>
      </c>
      <c r="L174" s="8">
        <v>0.02</v>
      </c>
      <c r="M174" s="4" t="s">
        <v>386</v>
      </c>
      <c r="N174" s="5" t="s">
        <v>387</v>
      </c>
      <c r="O174" s="4" t="s">
        <v>23</v>
      </c>
      <c r="P174" s="4" t="s">
        <v>7</v>
      </c>
      <c r="Q174" s="4" t="s">
        <v>155</v>
      </c>
    </row>
    <row r="175" spans="1:17" ht="17.25">
      <c r="A175" s="4">
        <f t="shared" si="12"/>
        <v>174</v>
      </c>
      <c r="B175" s="4" t="s">
        <v>304</v>
      </c>
      <c r="C175" s="4" t="s">
        <v>127</v>
      </c>
      <c r="D175" s="4">
        <v>1983</v>
      </c>
      <c r="E175" s="4">
        <f t="shared" si="16"/>
        <v>42</v>
      </c>
      <c r="F175" s="4">
        <v>849454340</v>
      </c>
      <c r="G175" s="6" t="s">
        <v>25</v>
      </c>
      <c r="H175" s="6" t="s">
        <v>25</v>
      </c>
      <c r="I175" s="6" t="s">
        <v>25</v>
      </c>
      <c r="J175" s="4">
        <v>2</v>
      </c>
      <c r="K175" s="7">
        <v>75000</v>
      </c>
      <c r="L175" s="8">
        <v>0.02</v>
      </c>
      <c r="M175" s="4" t="s">
        <v>305</v>
      </c>
      <c r="N175" s="5" t="s">
        <v>27</v>
      </c>
      <c r="O175" s="4" t="s">
        <v>23</v>
      </c>
      <c r="P175" s="4" t="s">
        <v>7</v>
      </c>
      <c r="Q175" s="4" t="s">
        <v>447</v>
      </c>
    </row>
    <row r="176" spans="1:17" ht="17.25">
      <c r="A176" s="4">
        <f t="shared" si="12"/>
        <v>175</v>
      </c>
      <c r="B176" s="15" t="s">
        <v>306</v>
      </c>
      <c r="C176" s="4" t="s">
        <v>127</v>
      </c>
      <c r="D176" s="4">
        <v>1993</v>
      </c>
      <c r="E176" s="4">
        <f t="shared" si="16"/>
        <v>32</v>
      </c>
      <c r="F176" s="4">
        <v>847836358</v>
      </c>
      <c r="G176" s="6" t="s">
        <v>13</v>
      </c>
      <c r="H176" s="6" t="s">
        <v>13</v>
      </c>
      <c r="I176" s="6" t="s">
        <v>13</v>
      </c>
      <c r="J176" s="4"/>
      <c r="K176" s="7">
        <v>1300000</v>
      </c>
      <c r="L176" s="8">
        <v>0.02</v>
      </c>
      <c r="M176" s="4" t="s">
        <v>118</v>
      </c>
      <c r="N176" s="5" t="s">
        <v>27</v>
      </c>
      <c r="O176" s="4" t="s">
        <v>23</v>
      </c>
      <c r="P176" s="4" t="s">
        <v>6</v>
      </c>
      <c r="Q176" s="4"/>
    </row>
    <row r="177" spans="1:17" ht="17.25">
      <c r="A177" s="4">
        <f t="shared" si="12"/>
        <v>176</v>
      </c>
      <c r="B177" s="15" t="s">
        <v>307</v>
      </c>
      <c r="C177" s="4" t="s">
        <v>12</v>
      </c>
      <c r="D177" s="4">
        <v>1990</v>
      </c>
      <c r="E177" s="4">
        <f t="shared" si="16"/>
        <v>35</v>
      </c>
      <c r="F177" s="4">
        <v>847377839</v>
      </c>
      <c r="G177" s="6" t="s">
        <v>13</v>
      </c>
      <c r="H177" s="6" t="s">
        <v>13</v>
      </c>
      <c r="I177" s="6" t="s">
        <v>13</v>
      </c>
      <c r="J177" s="4"/>
      <c r="K177" s="7">
        <v>150000</v>
      </c>
      <c r="L177" s="8">
        <v>0.09</v>
      </c>
      <c r="M177" s="4" t="s">
        <v>308</v>
      </c>
      <c r="N177" s="5" t="s">
        <v>27</v>
      </c>
      <c r="O177" s="4" t="s">
        <v>23</v>
      </c>
      <c r="P177" s="4" t="s">
        <v>6</v>
      </c>
      <c r="Q177" s="4"/>
    </row>
    <row r="178" spans="1:17" ht="17.25">
      <c r="A178" s="4">
        <f t="shared" si="12"/>
        <v>177</v>
      </c>
      <c r="B178" s="15" t="s">
        <v>309</v>
      </c>
      <c r="C178" s="4" t="s">
        <v>12</v>
      </c>
      <c r="D178" s="4">
        <v>1988</v>
      </c>
      <c r="E178" s="4">
        <f t="shared" si="16"/>
        <v>37</v>
      </c>
      <c r="F178" s="4">
        <v>842767147</v>
      </c>
      <c r="G178" s="6" t="s">
        <v>13</v>
      </c>
      <c r="H178" s="6" t="s">
        <v>13</v>
      </c>
      <c r="I178" s="6" t="s">
        <v>13</v>
      </c>
      <c r="J178" s="4"/>
      <c r="K178" s="7">
        <v>120000</v>
      </c>
      <c r="L178" s="8">
        <v>0.09</v>
      </c>
      <c r="M178" s="4" t="s">
        <v>386</v>
      </c>
      <c r="N178" s="5" t="s">
        <v>387</v>
      </c>
      <c r="O178" s="4" t="s">
        <v>23</v>
      </c>
      <c r="P178" s="4" t="s">
        <v>6</v>
      </c>
      <c r="Q178" s="4"/>
    </row>
    <row r="179" spans="1:17" ht="17.25">
      <c r="A179" s="4">
        <f t="shared" si="12"/>
        <v>178</v>
      </c>
      <c r="B179" s="4" t="s">
        <v>310</v>
      </c>
      <c r="C179" s="4" t="s">
        <v>127</v>
      </c>
      <c r="D179" s="4">
        <v>1988</v>
      </c>
      <c r="E179" s="4">
        <f t="shared" si="16"/>
        <v>37</v>
      </c>
      <c r="F179" s="4">
        <v>846127083</v>
      </c>
      <c r="G179" s="6" t="s">
        <v>25</v>
      </c>
      <c r="H179" s="6" t="s">
        <v>25</v>
      </c>
      <c r="I179" s="6" t="s">
        <v>25</v>
      </c>
      <c r="J179" s="4">
        <v>3</v>
      </c>
      <c r="K179" s="7">
        <v>480000</v>
      </c>
      <c r="L179" s="8">
        <v>0.02</v>
      </c>
      <c r="M179" s="4" t="s">
        <v>311</v>
      </c>
      <c r="N179" s="5" t="s">
        <v>27</v>
      </c>
      <c r="O179" s="4" t="s">
        <v>23</v>
      </c>
      <c r="P179" s="4" t="s">
        <v>7</v>
      </c>
      <c r="Q179" s="4" t="s">
        <v>312</v>
      </c>
    </row>
    <row r="180" spans="1:17" ht="17.25">
      <c r="A180" s="4">
        <f t="shared" si="12"/>
        <v>179</v>
      </c>
      <c r="B180" s="4" t="s">
        <v>313</v>
      </c>
      <c r="C180" s="4" t="s">
        <v>127</v>
      </c>
      <c r="D180" s="4"/>
      <c r="E180" s="4"/>
      <c r="F180" s="4">
        <v>862818048</v>
      </c>
      <c r="G180" s="6" t="s">
        <v>25</v>
      </c>
      <c r="H180" s="6" t="s">
        <v>25</v>
      </c>
      <c r="I180" s="6" t="s">
        <v>13</v>
      </c>
      <c r="J180" s="4"/>
      <c r="K180" s="7">
        <v>100000</v>
      </c>
      <c r="L180" s="8">
        <v>0.02</v>
      </c>
      <c r="M180" s="4" t="s">
        <v>314</v>
      </c>
      <c r="N180" s="5" t="s">
        <v>27</v>
      </c>
      <c r="O180" s="4" t="s">
        <v>23</v>
      </c>
      <c r="P180" s="4" t="s">
        <v>7</v>
      </c>
      <c r="Q180" s="4" t="s">
        <v>315</v>
      </c>
    </row>
    <row r="181" spans="1:17" ht="17.25">
      <c r="A181" s="4">
        <f t="shared" si="12"/>
        <v>180</v>
      </c>
      <c r="B181" s="4" t="s">
        <v>316</v>
      </c>
      <c r="C181" s="4" t="s">
        <v>263</v>
      </c>
      <c r="D181" s="4">
        <v>1997</v>
      </c>
      <c r="E181" s="4">
        <f t="shared" si="16"/>
        <v>28</v>
      </c>
      <c r="F181" s="4">
        <v>858777664</v>
      </c>
      <c r="G181" s="6" t="s">
        <v>13</v>
      </c>
      <c r="H181" s="6" t="s">
        <v>25</v>
      </c>
      <c r="I181" s="6" t="s">
        <v>25</v>
      </c>
      <c r="J181" s="4">
        <v>3</v>
      </c>
      <c r="K181" s="7">
        <v>200000</v>
      </c>
      <c r="L181" s="8">
        <v>0.02</v>
      </c>
      <c r="M181" s="4" t="s">
        <v>317</v>
      </c>
      <c r="N181" s="5" t="s">
        <v>27</v>
      </c>
      <c r="O181" s="4" t="s">
        <v>23</v>
      </c>
      <c r="P181" s="4" t="s">
        <v>7</v>
      </c>
      <c r="Q181" s="4" t="s">
        <v>180</v>
      </c>
    </row>
    <row r="182" spans="1:17" ht="17.25">
      <c r="A182" s="4">
        <f t="shared" si="12"/>
        <v>181</v>
      </c>
      <c r="B182" s="15" t="s">
        <v>318</v>
      </c>
      <c r="C182" s="4" t="s">
        <v>263</v>
      </c>
      <c r="D182" s="4">
        <v>1984</v>
      </c>
      <c r="E182" s="4">
        <f t="shared" si="16"/>
        <v>41</v>
      </c>
      <c r="F182" s="4">
        <v>865001024</v>
      </c>
      <c r="G182" s="6" t="s">
        <v>13</v>
      </c>
      <c r="H182" s="6" t="s">
        <v>13</v>
      </c>
      <c r="I182" s="6" t="s">
        <v>13</v>
      </c>
      <c r="J182" s="4"/>
      <c r="K182" s="7">
        <v>1000000</v>
      </c>
      <c r="L182" s="8">
        <v>0.02</v>
      </c>
      <c r="M182" s="4" t="s">
        <v>319</v>
      </c>
      <c r="N182" s="5" t="s">
        <v>27</v>
      </c>
      <c r="O182" s="4" t="s">
        <v>23</v>
      </c>
      <c r="P182" s="4" t="s">
        <v>6</v>
      </c>
      <c r="Q182" s="4"/>
    </row>
    <row r="183" spans="1:17" ht="17.25">
      <c r="A183" s="4">
        <f t="shared" si="12"/>
        <v>182</v>
      </c>
      <c r="B183" s="15" t="s">
        <v>320</v>
      </c>
      <c r="C183" s="4" t="s">
        <v>241</v>
      </c>
      <c r="D183" s="4">
        <v>1993</v>
      </c>
      <c r="E183" s="4">
        <f t="shared" si="16"/>
        <v>32</v>
      </c>
      <c r="F183" s="4">
        <v>847107222</v>
      </c>
      <c r="G183" s="6" t="s">
        <v>13</v>
      </c>
      <c r="H183" s="6" t="s">
        <v>13</v>
      </c>
      <c r="I183" s="6" t="s">
        <v>13</v>
      </c>
      <c r="J183" s="4"/>
      <c r="K183" s="7">
        <v>1213500</v>
      </c>
      <c r="L183" s="8">
        <v>0.02</v>
      </c>
      <c r="M183" s="4" t="s">
        <v>386</v>
      </c>
      <c r="N183" s="5" t="s">
        <v>19</v>
      </c>
      <c r="O183" s="4" t="s">
        <v>23</v>
      </c>
      <c r="P183" s="4" t="s">
        <v>6</v>
      </c>
      <c r="Q183" s="4"/>
    </row>
    <row r="184" spans="1:17" ht="17.25">
      <c r="A184" s="4">
        <f t="shared" si="12"/>
        <v>183</v>
      </c>
      <c r="B184" s="4" t="s">
        <v>320</v>
      </c>
      <c r="C184" s="4" t="s">
        <v>241</v>
      </c>
      <c r="D184" s="4">
        <v>1993</v>
      </c>
      <c r="E184" s="4">
        <f t="shared" si="16"/>
        <v>32</v>
      </c>
      <c r="F184" s="4">
        <v>847107222</v>
      </c>
      <c r="G184" s="6" t="s">
        <v>13</v>
      </c>
      <c r="H184" s="6" t="s">
        <v>13</v>
      </c>
      <c r="I184" s="6" t="s">
        <v>13</v>
      </c>
      <c r="J184" s="4"/>
      <c r="K184" s="7">
        <v>1200000</v>
      </c>
      <c r="L184" s="8">
        <v>0.02</v>
      </c>
      <c r="M184" s="4" t="s">
        <v>321</v>
      </c>
      <c r="N184" s="5" t="s">
        <v>19</v>
      </c>
      <c r="O184" s="4" t="s">
        <v>23</v>
      </c>
      <c r="P184" s="4" t="s">
        <v>6</v>
      </c>
      <c r="Q184" s="4"/>
    </row>
    <row r="185" spans="1:17" ht="17.25">
      <c r="A185" s="4">
        <f t="shared" si="12"/>
        <v>184</v>
      </c>
      <c r="B185" s="15" t="s">
        <v>322</v>
      </c>
      <c r="C185" s="4" t="s">
        <v>127</v>
      </c>
      <c r="D185" s="4">
        <v>1998</v>
      </c>
      <c r="E185" s="4">
        <f t="shared" si="16"/>
        <v>27</v>
      </c>
      <c r="F185" s="4">
        <v>860168494</v>
      </c>
      <c r="G185" s="6" t="s">
        <v>13</v>
      </c>
      <c r="H185" s="6" t="s">
        <v>13</v>
      </c>
      <c r="I185" s="6" t="s">
        <v>13</v>
      </c>
      <c r="J185" s="4"/>
      <c r="K185" s="7">
        <v>110000</v>
      </c>
      <c r="L185" s="8">
        <v>0.02</v>
      </c>
      <c r="M185" s="4" t="s">
        <v>349</v>
      </c>
      <c r="N185" s="5" t="s">
        <v>27</v>
      </c>
      <c r="O185" s="4" t="s">
        <v>23</v>
      </c>
      <c r="P185" s="4" t="s">
        <v>6</v>
      </c>
      <c r="Q185" s="4"/>
    </row>
    <row r="186" spans="1:17" ht="17.25">
      <c r="A186" s="4">
        <f t="shared" si="12"/>
        <v>185</v>
      </c>
      <c r="B186" s="15" t="s">
        <v>323</v>
      </c>
      <c r="C186" s="4" t="s">
        <v>127</v>
      </c>
      <c r="D186" s="4">
        <v>1982</v>
      </c>
      <c r="E186" s="4">
        <f t="shared" si="16"/>
        <v>43</v>
      </c>
      <c r="F186" s="4">
        <v>870725690</v>
      </c>
      <c r="G186" s="6" t="s">
        <v>13</v>
      </c>
      <c r="H186" s="6" t="s">
        <v>13</v>
      </c>
      <c r="I186" s="6" t="s">
        <v>13</v>
      </c>
      <c r="J186" s="4"/>
      <c r="K186" s="7">
        <v>1000000</v>
      </c>
      <c r="L186" s="8">
        <v>0.02</v>
      </c>
      <c r="M186" s="4" t="s">
        <v>98</v>
      </c>
      <c r="N186" s="5" t="s">
        <v>27</v>
      </c>
      <c r="O186" s="4" t="s">
        <v>23</v>
      </c>
      <c r="P186" s="4" t="s">
        <v>6</v>
      </c>
      <c r="Q186" s="4"/>
    </row>
    <row r="187" spans="1:17" ht="17.25">
      <c r="A187" s="4">
        <f t="shared" si="12"/>
        <v>186</v>
      </c>
      <c r="B187" s="4" t="s">
        <v>324</v>
      </c>
      <c r="C187" s="4" t="s">
        <v>263</v>
      </c>
      <c r="D187" s="4">
        <v>1978</v>
      </c>
      <c r="E187" s="4">
        <f t="shared" si="16"/>
        <v>47</v>
      </c>
      <c r="F187" s="4">
        <v>864264692</v>
      </c>
      <c r="G187" s="6" t="s">
        <v>13</v>
      </c>
      <c r="H187" s="6" t="s">
        <v>13</v>
      </c>
      <c r="I187" s="6" t="s">
        <v>13</v>
      </c>
      <c r="J187" s="4">
        <v>2</v>
      </c>
      <c r="K187" s="7">
        <v>1423865</v>
      </c>
      <c r="L187" s="8">
        <v>0.02</v>
      </c>
      <c r="M187" s="4" t="s">
        <v>98</v>
      </c>
      <c r="N187" s="5" t="s">
        <v>27</v>
      </c>
      <c r="O187" s="4" t="s">
        <v>23</v>
      </c>
      <c r="P187" s="4" t="s">
        <v>6</v>
      </c>
      <c r="Q187" s="4"/>
    </row>
    <row r="188" spans="1:17" ht="17.25">
      <c r="A188" s="4">
        <f t="shared" si="12"/>
        <v>187</v>
      </c>
      <c r="B188" s="4" t="s">
        <v>325</v>
      </c>
      <c r="C188" s="4" t="s">
        <v>241</v>
      </c>
      <c r="D188" s="4">
        <v>1990</v>
      </c>
      <c r="E188" s="4">
        <f t="shared" si="16"/>
        <v>35</v>
      </c>
      <c r="F188" s="4">
        <v>841011422</v>
      </c>
      <c r="G188" s="6" t="s">
        <v>13</v>
      </c>
      <c r="H188" s="6" t="s">
        <v>13</v>
      </c>
      <c r="I188" s="6" t="s">
        <v>13</v>
      </c>
      <c r="J188" s="4"/>
      <c r="K188" s="7">
        <v>200000</v>
      </c>
      <c r="L188" s="8">
        <v>0.02</v>
      </c>
      <c r="M188" s="4" t="s">
        <v>94</v>
      </c>
      <c r="N188" s="5" t="s">
        <v>27</v>
      </c>
      <c r="O188" s="4" t="s">
        <v>23</v>
      </c>
      <c r="P188" s="4" t="s">
        <v>6</v>
      </c>
      <c r="Q188" s="4"/>
    </row>
    <row r="189" spans="1:17" ht="17.25">
      <c r="A189" s="4">
        <f t="shared" si="12"/>
        <v>188</v>
      </c>
      <c r="B189" s="4" t="s">
        <v>326</v>
      </c>
      <c r="C189" s="4" t="s">
        <v>135</v>
      </c>
      <c r="D189" s="4">
        <v>1995</v>
      </c>
      <c r="E189" s="4">
        <f t="shared" si="16"/>
        <v>30</v>
      </c>
      <c r="F189" s="4">
        <v>847710620</v>
      </c>
      <c r="G189" s="6" t="s">
        <v>13</v>
      </c>
      <c r="H189" s="6" t="s">
        <v>13</v>
      </c>
      <c r="I189" s="6" t="s">
        <v>25</v>
      </c>
      <c r="J189" s="4"/>
      <c r="K189" s="7">
        <v>500000</v>
      </c>
      <c r="L189" s="8">
        <v>0.02</v>
      </c>
      <c r="M189" s="4" t="s">
        <v>327</v>
      </c>
      <c r="N189" s="5" t="s">
        <v>27</v>
      </c>
      <c r="O189" s="4" t="s">
        <v>136</v>
      </c>
      <c r="P189" s="4" t="s">
        <v>7</v>
      </c>
      <c r="Q189" s="4" t="s">
        <v>328</v>
      </c>
    </row>
    <row r="190" spans="1:17" ht="17.25">
      <c r="A190" s="4">
        <f t="shared" si="12"/>
        <v>189</v>
      </c>
      <c r="B190" s="4" t="s">
        <v>329</v>
      </c>
      <c r="C190" s="4" t="s">
        <v>135</v>
      </c>
      <c r="D190" s="4">
        <v>1993</v>
      </c>
      <c r="E190" s="4">
        <f t="shared" si="16"/>
        <v>32</v>
      </c>
      <c r="F190" s="4">
        <v>845360774</v>
      </c>
      <c r="G190" s="6" t="s">
        <v>13</v>
      </c>
      <c r="H190" s="6" t="s">
        <v>13</v>
      </c>
      <c r="I190" s="6" t="s">
        <v>13</v>
      </c>
      <c r="J190" s="4"/>
      <c r="K190" s="7">
        <v>200000</v>
      </c>
      <c r="L190" s="8">
        <v>0.02</v>
      </c>
      <c r="M190" s="4" t="s">
        <v>94</v>
      </c>
      <c r="N190" s="5" t="s">
        <v>27</v>
      </c>
      <c r="O190" s="4" t="s">
        <v>136</v>
      </c>
      <c r="P190" s="4" t="s">
        <v>7</v>
      </c>
      <c r="Q190" s="4" t="s">
        <v>371</v>
      </c>
    </row>
    <row r="191" spans="1:17" ht="17.25">
      <c r="A191" s="4">
        <f t="shared" si="12"/>
        <v>190</v>
      </c>
      <c r="B191" s="4" t="s">
        <v>330</v>
      </c>
      <c r="C191" s="4" t="s">
        <v>127</v>
      </c>
      <c r="D191" s="4">
        <v>2000</v>
      </c>
      <c r="E191" s="4">
        <f t="shared" si="16"/>
        <v>25</v>
      </c>
      <c r="F191" s="4">
        <v>846906947</v>
      </c>
      <c r="G191" s="6" t="s">
        <v>13</v>
      </c>
      <c r="H191" s="6" t="s">
        <v>13</v>
      </c>
      <c r="I191" s="6" t="s">
        <v>13</v>
      </c>
      <c r="J191" s="4"/>
      <c r="K191" s="7">
        <v>350000</v>
      </c>
      <c r="L191" s="8">
        <v>0.02</v>
      </c>
      <c r="M191" s="4" t="s">
        <v>94</v>
      </c>
      <c r="N191" s="5" t="s">
        <v>27</v>
      </c>
      <c r="O191" s="4" t="s">
        <v>23</v>
      </c>
      <c r="P191" s="4" t="s">
        <v>6</v>
      </c>
      <c r="Q191" s="4"/>
    </row>
    <row r="192" spans="1:17" ht="17.25">
      <c r="A192" s="4">
        <f t="shared" si="12"/>
        <v>191</v>
      </c>
      <c r="B192" s="4" t="s">
        <v>331</v>
      </c>
      <c r="C192" s="4" t="s">
        <v>332</v>
      </c>
      <c r="D192" s="4">
        <v>1974</v>
      </c>
      <c r="E192" s="4">
        <f t="shared" si="16"/>
        <v>51</v>
      </c>
      <c r="F192" s="4">
        <v>849359616</v>
      </c>
      <c r="G192" s="6" t="s">
        <v>25</v>
      </c>
      <c r="H192" s="6" t="s">
        <v>25</v>
      </c>
      <c r="I192" s="6" t="s">
        <v>25</v>
      </c>
      <c r="J192" s="4">
        <v>4</v>
      </c>
      <c r="K192" s="7">
        <v>500000</v>
      </c>
      <c r="L192" s="8">
        <v>0.02</v>
      </c>
      <c r="M192" s="4" t="s">
        <v>94</v>
      </c>
      <c r="N192" s="5" t="s">
        <v>27</v>
      </c>
      <c r="O192" s="4" t="s">
        <v>23</v>
      </c>
      <c r="P192" s="4" t="s">
        <v>7</v>
      </c>
      <c r="Q192" s="4" t="s">
        <v>333</v>
      </c>
    </row>
    <row r="193" spans="1:17" ht="17.25">
      <c r="A193" s="4">
        <f t="shared" si="12"/>
        <v>192</v>
      </c>
      <c r="B193" s="4" t="s">
        <v>334</v>
      </c>
      <c r="C193" s="4" t="s">
        <v>332</v>
      </c>
      <c r="D193" s="4">
        <v>1975</v>
      </c>
      <c r="E193" s="4">
        <f t="shared" si="16"/>
        <v>50</v>
      </c>
      <c r="F193" s="4">
        <v>857000910</v>
      </c>
      <c r="G193" s="6" t="s">
        <v>13</v>
      </c>
      <c r="H193" s="6" t="s">
        <v>13</v>
      </c>
      <c r="I193" s="6" t="s">
        <v>25</v>
      </c>
      <c r="J193" s="4"/>
      <c r="K193" s="7">
        <v>250000</v>
      </c>
      <c r="L193" s="8">
        <v>0.02</v>
      </c>
      <c r="M193" s="4" t="s">
        <v>94</v>
      </c>
      <c r="N193" s="5" t="s">
        <v>27</v>
      </c>
      <c r="O193" s="4" t="s">
        <v>136</v>
      </c>
      <c r="P193" s="4" t="s">
        <v>7</v>
      </c>
      <c r="Q193" s="4" t="s">
        <v>352</v>
      </c>
    </row>
    <row r="194" spans="1:17" ht="17.25">
      <c r="A194" s="4">
        <f t="shared" si="12"/>
        <v>193</v>
      </c>
      <c r="B194" s="4" t="s">
        <v>436</v>
      </c>
      <c r="C194" s="4" t="s">
        <v>127</v>
      </c>
      <c r="D194" s="4">
        <v>1972</v>
      </c>
      <c r="E194" s="4">
        <f t="shared" si="16"/>
        <v>53</v>
      </c>
      <c r="F194" s="4">
        <v>847794005</v>
      </c>
      <c r="G194" s="6" t="s">
        <v>13</v>
      </c>
      <c r="H194" s="6" t="s">
        <v>13</v>
      </c>
      <c r="I194" s="6" t="s">
        <v>13</v>
      </c>
      <c r="J194" s="4"/>
      <c r="K194" s="7">
        <v>200000</v>
      </c>
      <c r="L194" s="8">
        <v>0.02</v>
      </c>
      <c r="M194" s="4" t="s">
        <v>94</v>
      </c>
      <c r="N194" s="5" t="s">
        <v>27</v>
      </c>
      <c r="O194" s="4" t="s">
        <v>23</v>
      </c>
      <c r="P194" s="4" t="s">
        <v>6</v>
      </c>
      <c r="Q194" s="4"/>
    </row>
    <row r="195" spans="1:17" ht="17.25">
      <c r="A195" s="4">
        <f t="shared" si="12"/>
        <v>194</v>
      </c>
      <c r="B195" s="4" t="s">
        <v>434</v>
      </c>
      <c r="C195" s="4" t="s">
        <v>335</v>
      </c>
      <c r="D195" s="4">
        <v>1996</v>
      </c>
      <c r="E195" s="4">
        <f t="shared" si="16"/>
        <v>29</v>
      </c>
      <c r="F195" s="4">
        <v>842007998</v>
      </c>
      <c r="G195" s="6" t="s">
        <v>13</v>
      </c>
      <c r="H195" s="6" t="s">
        <v>13</v>
      </c>
      <c r="I195" s="6" t="s">
        <v>13</v>
      </c>
      <c r="J195" s="4">
        <v>3</v>
      </c>
      <c r="K195" s="7">
        <v>500000</v>
      </c>
      <c r="L195" s="8">
        <v>0.02</v>
      </c>
      <c r="M195" s="4" t="s">
        <v>386</v>
      </c>
      <c r="N195" s="5" t="s">
        <v>387</v>
      </c>
      <c r="O195" s="4" t="s">
        <v>23</v>
      </c>
      <c r="P195" s="4" t="s">
        <v>6</v>
      </c>
      <c r="Q195" s="4"/>
    </row>
    <row r="196" spans="1:17" ht="17.25">
      <c r="A196" s="4">
        <f t="shared" ref="A196:A255" si="17">A195+1</f>
        <v>195</v>
      </c>
      <c r="B196" s="4" t="s">
        <v>337</v>
      </c>
      <c r="C196" s="4" t="s">
        <v>241</v>
      </c>
      <c r="D196" s="4">
        <v>1978</v>
      </c>
      <c r="E196" s="4">
        <f t="shared" si="16"/>
        <v>47</v>
      </c>
      <c r="F196" s="4">
        <v>846744269</v>
      </c>
      <c r="G196" s="6" t="s">
        <v>13</v>
      </c>
      <c r="H196" s="6" t="s">
        <v>13</v>
      </c>
      <c r="I196" s="6" t="s">
        <v>13</v>
      </c>
      <c r="J196" s="4"/>
      <c r="K196" s="7">
        <v>350000</v>
      </c>
      <c r="L196" s="8">
        <v>0.02</v>
      </c>
      <c r="M196" s="4" t="s">
        <v>338</v>
      </c>
      <c r="N196" s="5" t="s">
        <v>77</v>
      </c>
      <c r="O196" s="4" t="s">
        <v>23</v>
      </c>
      <c r="P196" s="4" t="s">
        <v>6</v>
      </c>
      <c r="Q196" s="4"/>
    </row>
    <row r="197" spans="1:17" ht="17.25">
      <c r="A197" s="4">
        <f t="shared" si="17"/>
        <v>196</v>
      </c>
      <c r="B197" s="4" t="s">
        <v>339</v>
      </c>
      <c r="C197" s="4" t="s">
        <v>127</v>
      </c>
      <c r="D197" s="4">
        <v>2000</v>
      </c>
      <c r="E197" s="4">
        <f t="shared" si="16"/>
        <v>25</v>
      </c>
      <c r="F197" s="4">
        <v>862997407</v>
      </c>
      <c r="G197" s="6" t="s">
        <v>13</v>
      </c>
      <c r="H197" s="6" t="s">
        <v>13</v>
      </c>
      <c r="I197" s="6" t="s">
        <v>13</v>
      </c>
      <c r="J197" s="4"/>
      <c r="K197" s="7">
        <v>30000</v>
      </c>
      <c r="L197" s="8">
        <v>0.02</v>
      </c>
      <c r="M197" s="4" t="s">
        <v>273</v>
      </c>
      <c r="N197" s="5" t="s">
        <v>27</v>
      </c>
      <c r="O197" s="4" t="s">
        <v>23</v>
      </c>
      <c r="P197" s="4" t="s">
        <v>6</v>
      </c>
      <c r="Q197" s="4"/>
    </row>
    <row r="198" spans="1:17" ht="17.25">
      <c r="A198" s="4">
        <f t="shared" si="17"/>
        <v>197</v>
      </c>
      <c r="B198" s="4" t="s">
        <v>340</v>
      </c>
      <c r="C198" s="4" t="s">
        <v>127</v>
      </c>
      <c r="D198" s="4">
        <v>1980</v>
      </c>
      <c r="E198" s="4">
        <f t="shared" si="16"/>
        <v>45</v>
      </c>
      <c r="F198" s="4">
        <v>848215711</v>
      </c>
      <c r="G198" s="6" t="s">
        <v>13</v>
      </c>
      <c r="H198" s="6" t="s">
        <v>13</v>
      </c>
      <c r="I198" s="6" t="s">
        <v>13</v>
      </c>
      <c r="J198" s="4"/>
      <c r="K198" s="7">
        <v>1200000</v>
      </c>
      <c r="L198" s="8">
        <v>0.02</v>
      </c>
      <c r="M198" s="4" t="s">
        <v>338</v>
      </c>
      <c r="N198" s="5" t="s">
        <v>77</v>
      </c>
      <c r="O198" s="4" t="s">
        <v>23</v>
      </c>
      <c r="P198" s="4" t="s">
        <v>6</v>
      </c>
      <c r="Q198" s="4"/>
    </row>
    <row r="199" spans="1:17" ht="17.25">
      <c r="A199" s="4">
        <f t="shared" si="17"/>
        <v>198</v>
      </c>
      <c r="B199" s="4" t="s">
        <v>431</v>
      </c>
      <c r="C199" s="4" t="s">
        <v>241</v>
      </c>
      <c r="D199" s="4">
        <v>1960</v>
      </c>
      <c r="E199" s="4">
        <f t="shared" si="16"/>
        <v>65</v>
      </c>
      <c r="F199" s="4">
        <v>873732696</v>
      </c>
      <c r="G199" s="6" t="s">
        <v>13</v>
      </c>
      <c r="H199" s="6" t="s">
        <v>13</v>
      </c>
      <c r="I199" s="6" t="s">
        <v>13</v>
      </c>
      <c r="J199" s="4">
        <v>2</v>
      </c>
      <c r="K199" s="7">
        <v>800000</v>
      </c>
      <c r="L199" s="8">
        <v>0.02</v>
      </c>
      <c r="M199" s="4" t="s">
        <v>98</v>
      </c>
      <c r="N199" s="5" t="s">
        <v>27</v>
      </c>
      <c r="O199" s="4" t="s">
        <v>23</v>
      </c>
      <c r="P199" s="4" t="s">
        <v>6</v>
      </c>
      <c r="Q199" s="4"/>
    </row>
    <row r="200" spans="1:17" ht="17.25">
      <c r="A200" s="4">
        <f t="shared" si="17"/>
        <v>199</v>
      </c>
      <c r="B200" s="4" t="s">
        <v>342</v>
      </c>
      <c r="C200" s="4" t="s">
        <v>241</v>
      </c>
      <c r="D200" s="4">
        <v>2001</v>
      </c>
      <c r="E200" s="4">
        <f t="shared" si="16"/>
        <v>24</v>
      </c>
      <c r="F200" s="4">
        <v>856239784</v>
      </c>
      <c r="G200" s="6" t="s">
        <v>13</v>
      </c>
      <c r="H200" s="6" t="s">
        <v>13</v>
      </c>
      <c r="I200" s="6" t="s">
        <v>25</v>
      </c>
      <c r="J200" s="4">
        <v>2</v>
      </c>
      <c r="K200" s="7">
        <v>800000</v>
      </c>
      <c r="L200" s="8">
        <v>0.02</v>
      </c>
      <c r="M200" s="4" t="s">
        <v>343</v>
      </c>
      <c r="N200" s="5" t="s">
        <v>77</v>
      </c>
      <c r="O200" s="4" t="s">
        <v>23</v>
      </c>
      <c r="P200" s="4" t="s">
        <v>7</v>
      </c>
      <c r="Q200" s="4" t="s">
        <v>446</v>
      </c>
    </row>
    <row r="201" spans="1:17" ht="17.25">
      <c r="A201" s="4">
        <f t="shared" si="17"/>
        <v>200</v>
      </c>
      <c r="B201" s="4" t="s">
        <v>344</v>
      </c>
      <c r="C201" s="4" t="s">
        <v>135</v>
      </c>
      <c r="D201" s="4">
        <v>1997</v>
      </c>
      <c r="E201" s="4">
        <f t="shared" si="16"/>
        <v>28</v>
      </c>
      <c r="F201" s="4">
        <v>872862124</v>
      </c>
      <c r="G201" s="6" t="s">
        <v>13</v>
      </c>
      <c r="H201" s="6" t="s">
        <v>13</v>
      </c>
      <c r="I201" s="6" t="s">
        <v>13</v>
      </c>
      <c r="J201" s="4"/>
      <c r="K201" s="7">
        <v>75000</v>
      </c>
      <c r="L201" s="8">
        <v>0.02</v>
      </c>
      <c r="M201" s="4" t="s">
        <v>195</v>
      </c>
      <c r="N201" s="5" t="s">
        <v>77</v>
      </c>
      <c r="O201" s="4" t="s">
        <v>23</v>
      </c>
      <c r="P201" s="4" t="s">
        <v>6</v>
      </c>
      <c r="Q201" s="4"/>
    </row>
    <row r="202" spans="1:17" ht="17.25">
      <c r="A202" s="4">
        <f t="shared" si="17"/>
        <v>201</v>
      </c>
      <c r="B202" s="4" t="s">
        <v>430</v>
      </c>
      <c r="C202" s="4" t="s">
        <v>241</v>
      </c>
      <c r="D202" s="4">
        <v>1999</v>
      </c>
      <c r="E202" s="4">
        <f t="shared" si="16"/>
        <v>26</v>
      </c>
      <c r="F202" s="4">
        <v>878732544</v>
      </c>
      <c r="G202" s="6" t="s">
        <v>13</v>
      </c>
      <c r="H202" s="6" t="s">
        <v>13</v>
      </c>
      <c r="I202" s="6" t="s">
        <v>13</v>
      </c>
      <c r="J202" s="4"/>
      <c r="K202" s="7">
        <v>200000</v>
      </c>
      <c r="L202" s="8">
        <v>0.02</v>
      </c>
      <c r="M202" s="4" t="s">
        <v>94</v>
      </c>
      <c r="N202" s="5" t="s">
        <v>27</v>
      </c>
      <c r="O202" s="4" t="s">
        <v>23</v>
      </c>
      <c r="P202" s="4" t="s">
        <v>6</v>
      </c>
      <c r="Q202" s="4"/>
    </row>
    <row r="203" spans="1:17" ht="17.25">
      <c r="A203" s="4">
        <f t="shared" si="17"/>
        <v>202</v>
      </c>
      <c r="B203" s="4" t="s">
        <v>345</v>
      </c>
      <c r="C203" s="4" t="s">
        <v>135</v>
      </c>
      <c r="D203" s="4">
        <v>1991</v>
      </c>
      <c r="E203" s="4">
        <f t="shared" si="16"/>
        <v>34</v>
      </c>
      <c r="F203" s="4">
        <v>846433089</v>
      </c>
      <c r="G203" s="6" t="s">
        <v>13</v>
      </c>
      <c r="H203" s="6" t="s">
        <v>13</v>
      </c>
      <c r="I203" s="6" t="s">
        <v>25</v>
      </c>
      <c r="J203" s="4"/>
      <c r="K203" s="7">
        <v>70000</v>
      </c>
      <c r="L203" s="8">
        <v>0.02</v>
      </c>
      <c r="M203" s="4" t="s">
        <v>118</v>
      </c>
      <c r="N203" s="5" t="s">
        <v>27</v>
      </c>
      <c r="O203" s="4" t="s">
        <v>23</v>
      </c>
      <c r="P203" s="4" t="s">
        <v>7</v>
      </c>
      <c r="Q203" s="4" t="s">
        <v>351</v>
      </c>
    </row>
    <row r="204" spans="1:17" ht="17.25">
      <c r="A204" s="4">
        <f t="shared" si="17"/>
        <v>203</v>
      </c>
      <c r="B204" s="4" t="s">
        <v>346</v>
      </c>
      <c r="C204" s="4" t="s">
        <v>263</v>
      </c>
      <c r="D204" s="4">
        <v>1990</v>
      </c>
      <c r="E204" s="4">
        <f t="shared" si="16"/>
        <v>35</v>
      </c>
      <c r="F204" s="4">
        <v>876638033</v>
      </c>
      <c r="G204" s="6" t="s">
        <v>13</v>
      </c>
      <c r="H204" s="6" t="s">
        <v>13</v>
      </c>
      <c r="I204" s="6" t="s">
        <v>13</v>
      </c>
      <c r="J204" s="4">
        <v>3</v>
      </c>
      <c r="K204" s="7">
        <v>650000</v>
      </c>
      <c r="L204" s="8">
        <v>0.02</v>
      </c>
      <c r="M204" s="4" t="s">
        <v>167</v>
      </c>
      <c r="N204" s="5" t="s">
        <v>347</v>
      </c>
      <c r="O204" s="4" t="s">
        <v>23</v>
      </c>
      <c r="P204" s="4" t="s">
        <v>6</v>
      </c>
      <c r="Q204" s="4"/>
    </row>
    <row r="205" spans="1:17" ht="17.25">
      <c r="A205" s="4">
        <f t="shared" si="17"/>
        <v>204</v>
      </c>
      <c r="B205" s="4" t="s">
        <v>348</v>
      </c>
      <c r="C205" s="4" t="s">
        <v>127</v>
      </c>
      <c r="D205" s="4">
        <v>1988</v>
      </c>
      <c r="E205" s="4">
        <f t="shared" si="16"/>
        <v>37</v>
      </c>
      <c r="F205" s="4">
        <v>873344645</v>
      </c>
      <c r="G205" s="6" t="s">
        <v>13</v>
      </c>
      <c r="H205" s="6" t="s">
        <v>13</v>
      </c>
      <c r="I205" s="6" t="s">
        <v>13</v>
      </c>
      <c r="J205" s="4"/>
      <c r="K205" s="7">
        <v>700000</v>
      </c>
      <c r="L205" s="8">
        <v>0.02</v>
      </c>
      <c r="M205" s="4" t="s">
        <v>349</v>
      </c>
      <c r="N205" s="5" t="s">
        <v>27</v>
      </c>
      <c r="O205" s="4" t="s">
        <v>23</v>
      </c>
      <c r="P205" s="4" t="s">
        <v>6</v>
      </c>
      <c r="Q205" s="4"/>
    </row>
    <row r="206" spans="1:17" ht="17.25">
      <c r="A206" s="4">
        <f t="shared" si="17"/>
        <v>205</v>
      </c>
      <c r="B206" s="4" t="s">
        <v>350</v>
      </c>
      <c r="C206" s="4" t="s">
        <v>127</v>
      </c>
      <c r="D206" s="4">
        <v>1988</v>
      </c>
      <c r="E206" s="4">
        <f t="shared" si="16"/>
        <v>37</v>
      </c>
      <c r="F206" s="4">
        <v>864847890</v>
      </c>
      <c r="G206" s="6" t="s">
        <v>13</v>
      </c>
      <c r="H206" s="6" t="s">
        <v>13</v>
      </c>
      <c r="I206" s="6" t="s">
        <v>25</v>
      </c>
      <c r="J206" s="4"/>
      <c r="K206" s="7">
        <v>500000</v>
      </c>
      <c r="L206" s="8">
        <v>0.02</v>
      </c>
      <c r="M206" s="4" t="s">
        <v>126</v>
      </c>
      <c r="N206" s="5" t="s">
        <v>336</v>
      </c>
      <c r="O206" s="4" t="s">
        <v>23</v>
      </c>
      <c r="P206" s="4" t="s">
        <v>7</v>
      </c>
      <c r="Q206" s="4" t="s">
        <v>351</v>
      </c>
    </row>
    <row r="207" spans="1:17" ht="17.25">
      <c r="A207" s="4">
        <f t="shared" si="17"/>
        <v>206</v>
      </c>
      <c r="B207" s="4" t="s">
        <v>353</v>
      </c>
      <c r="C207" s="4" t="s">
        <v>241</v>
      </c>
      <c r="D207" s="4">
        <v>2000</v>
      </c>
      <c r="E207" s="4">
        <f t="shared" si="16"/>
        <v>25</v>
      </c>
      <c r="F207" s="4">
        <v>876493413</v>
      </c>
      <c r="G207" s="6" t="s">
        <v>25</v>
      </c>
      <c r="H207" s="6" t="s">
        <v>25</v>
      </c>
      <c r="I207" s="6" t="s">
        <v>25</v>
      </c>
      <c r="J207" s="4">
        <v>3</v>
      </c>
      <c r="K207" s="7">
        <v>1500000</v>
      </c>
      <c r="L207" s="8">
        <v>0.02</v>
      </c>
      <c r="M207" s="4" t="s">
        <v>153</v>
      </c>
      <c r="N207" s="5" t="s">
        <v>27</v>
      </c>
      <c r="O207" s="4" t="s">
        <v>23</v>
      </c>
      <c r="P207" s="4" t="s">
        <v>7</v>
      </c>
      <c r="Q207" s="4" t="s">
        <v>354</v>
      </c>
    </row>
    <row r="208" spans="1:17" ht="17.25">
      <c r="A208" s="4">
        <f t="shared" si="17"/>
        <v>207</v>
      </c>
      <c r="B208" s="4" t="s">
        <v>355</v>
      </c>
      <c r="C208" s="4" t="s">
        <v>127</v>
      </c>
      <c r="D208" s="4">
        <v>1999</v>
      </c>
      <c r="E208" s="4">
        <f t="shared" si="16"/>
        <v>26</v>
      </c>
      <c r="F208" s="4">
        <v>860073722</v>
      </c>
      <c r="G208" s="6" t="s">
        <v>13</v>
      </c>
      <c r="H208" s="6" t="s">
        <v>13</v>
      </c>
      <c r="I208" s="6" t="s">
        <v>13</v>
      </c>
      <c r="J208" s="4"/>
      <c r="K208" s="7">
        <v>230000</v>
      </c>
      <c r="L208" s="8">
        <v>0.02</v>
      </c>
      <c r="M208" s="4" t="s">
        <v>273</v>
      </c>
      <c r="N208" s="5" t="s">
        <v>27</v>
      </c>
      <c r="O208" s="4" t="s">
        <v>23</v>
      </c>
      <c r="P208" s="4" t="s">
        <v>6</v>
      </c>
      <c r="Q208" s="4"/>
    </row>
    <row r="209" spans="1:17" ht="17.25">
      <c r="A209" s="4">
        <f t="shared" si="17"/>
        <v>208</v>
      </c>
      <c r="B209" s="4" t="s">
        <v>356</v>
      </c>
      <c r="C209" s="4" t="s">
        <v>127</v>
      </c>
      <c r="D209" s="4">
        <v>1993</v>
      </c>
      <c r="E209" s="4">
        <f t="shared" si="16"/>
        <v>32</v>
      </c>
      <c r="F209" s="4">
        <v>862613206</v>
      </c>
      <c r="G209" s="6" t="s">
        <v>13</v>
      </c>
      <c r="H209" s="6" t="s">
        <v>25</v>
      </c>
      <c r="I209" s="6" t="s">
        <v>25</v>
      </c>
      <c r="J209" s="4">
        <v>3</v>
      </c>
      <c r="K209" s="7">
        <v>941000</v>
      </c>
      <c r="L209" s="8">
        <v>0.02</v>
      </c>
      <c r="M209" s="4" t="s">
        <v>357</v>
      </c>
      <c r="N209" s="5" t="s">
        <v>32</v>
      </c>
      <c r="O209" s="4" t="s">
        <v>23</v>
      </c>
      <c r="P209" s="4" t="s">
        <v>7</v>
      </c>
      <c r="Q209" s="4" t="s">
        <v>358</v>
      </c>
    </row>
    <row r="210" spans="1:17" ht="17.25">
      <c r="A210" s="4">
        <f t="shared" si="17"/>
        <v>209</v>
      </c>
      <c r="B210" s="15" t="s">
        <v>359</v>
      </c>
      <c r="C210" s="4" t="s">
        <v>12</v>
      </c>
      <c r="D210" s="4">
        <v>1988</v>
      </c>
      <c r="E210" s="4">
        <f t="shared" si="16"/>
        <v>37</v>
      </c>
      <c r="F210" s="4">
        <v>849454270</v>
      </c>
      <c r="G210" s="6" t="s">
        <v>13</v>
      </c>
      <c r="H210" s="6" t="s">
        <v>13</v>
      </c>
      <c r="I210" s="6" t="s">
        <v>13</v>
      </c>
      <c r="J210" s="4"/>
      <c r="K210" s="7">
        <v>120000</v>
      </c>
      <c r="L210" s="8">
        <v>0.09</v>
      </c>
      <c r="M210" s="4" t="s">
        <v>94</v>
      </c>
      <c r="N210" s="5" t="s">
        <v>27</v>
      </c>
      <c r="O210" s="4" t="s">
        <v>23</v>
      </c>
      <c r="P210" s="4" t="s">
        <v>6</v>
      </c>
      <c r="Q210" s="4"/>
    </row>
    <row r="211" spans="1:17" ht="17.25">
      <c r="A211" s="4">
        <f t="shared" si="17"/>
        <v>210</v>
      </c>
      <c r="B211" s="15" t="s">
        <v>360</v>
      </c>
      <c r="C211" s="4" t="s">
        <v>12</v>
      </c>
      <c r="D211" s="4">
        <v>1987</v>
      </c>
      <c r="E211" s="4">
        <f t="shared" si="16"/>
        <v>38</v>
      </c>
      <c r="F211" s="4">
        <v>865944785</v>
      </c>
      <c r="G211" s="6" t="s">
        <v>13</v>
      </c>
      <c r="H211" s="6" t="s">
        <v>13</v>
      </c>
      <c r="I211" s="6" t="s">
        <v>13</v>
      </c>
      <c r="J211" s="4"/>
      <c r="K211" s="7">
        <v>120000</v>
      </c>
      <c r="L211" s="8">
        <v>0.09</v>
      </c>
      <c r="M211" s="4" t="s">
        <v>386</v>
      </c>
      <c r="N211" s="5" t="s">
        <v>387</v>
      </c>
      <c r="O211" s="4" t="s">
        <v>23</v>
      </c>
      <c r="P211" s="4" t="s">
        <v>6</v>
      </c>
      <c r="Q211" s="4"/>
    </row>
    <row r="212" spans="1:17" ht="17.25">
      <c r="A212" s="4">
        <f t="shared" si="17"/>
        <v>211</v>
      </c>
      <c r="B212" s="4" t="s">
        <v>362</v>
      </c>
      <c r="C212" s="4" t="s">
        <v>12</v>
      </c>
      <c r="D212" s="4">
        <v>1974</v>
      </c>
      <c r="E212" s="4">
        <f t="shared" si="16"/>
        <v>51</v>
      </c>
      <c r="F212" s="4">
        <v>844419510</v>
      </c>
      <c r="G212" s="6" t="s">
        <v>13</v>
      </c>
      <c r="H212" s="6" t="s">
        <v>13</v>
      </c>
      <c r="I212" s="6" t="s">
        <v>13</v>
      </c>
      <c r="J212" s="4"/>
      <c r="K212" s="7">
        <v>220000</v>
      </c>
      <c r="L212" s="8">
        <v>0.09</v>
      </c>
      <c r="M212" s="4" t="s">
        <v>363</v>
      </c>
      <c r="N212" s="5" t="s">
        <v>27</v>
      </c>
      <c r="O212" s="4" t="s">
        <v>23</v>
      </c>
      <c r="P212" s="4" t="s">
        <v>6</v>
      </c>
      <c r="Q212" s="4"/>
    </row>
    <row r="213" spans="1:17" ht="17.25">
      <c r="A213" s="4">
        <f t="shared" si="17"/>
        <v>212</v>
      </c>
      <c r="B213" s="15" t="s">
        <v>462</v>
      </c>
      <c r="C213" s="4" t="s">
        <v>12</v>
      </c>
      <c r="D213" s="4">
        <v>1982</v>
      </c>
      <c r="E213" s="4">
        <f t="shared" si="16"/>
        <v>43</v>
      </c>
      <c r="F213" s="4">
        <v>860525847</v>
      </c>
      <c r="G213" s="6" t="s">
        <v>13</v>
      </c>
      <c r="H213" s="6" t="s">
        <v>13</v>
      </c>
      <c r="I213" s="6" t="s">
        <v>13</v>
      </c>
      <c r="J213" s="4"/>
      <c r="K213" s="7">
        <v>100000</v>
      </c>
      <c r="L213" s="8">
        <v>0.09</v>
      </c>
      <c r="M213" s="4" t="s">
        <v>94</v>
      </c>
      <c r="N213" s="5" t="s">
        <v>27</v>
      </c>
      <c r="O213" s="4" t="s">
        <v>23</v>
      </c>
      <c r="P213" s="4" t="s">
        <v>6</v>
      </c>
      <c r="Q213" s="4"/>
    </row>
    <row r="214" spans="1:17" ht="17.25">
      <c r="A214" s="4">
        <f t="shared" si="17"/>
        <v>213</v>
      </c>
      <c r="B214" s="15" t="s">
        <v>364</v>
      </c>
      <c r="C214" s="4" t="s">
        <v>12</v>
      </c>
      <c r="D214" s="4">
        <v>1989</v>
      </c>
      <c r="E214" s="4">
        <f t="shared" si="16"/>
        <v>36</v>
      </c>
      <c r="F214" s="4">
        <v>848591715</v>
      </c>
      <c r="G214" s="6" t="s">
        <v>13</v>
      </c>
      <c r="H214" s="6" t="s">
        <v>13</v>
      </c>
      <c r="I214" s="6" t="s">
        <v>13</v>
      </c>
      <c r="J214" s="4">
        <v>2</v>
      </c>
      <c r="K214" s="7">
        <v>150000</v>
      </c>
      <c r="L214" s="8">
        <v>0.09</v>
      </c>
      <c r="M214" s="4" t="s">
        <v>94</v>
      </c>
      <c r="N214" s="5" t="s">
        <v>27</v>
      </c>
      <c r="O214" s="4" t="s">
        <v>23</v>
      </c>
      <c r="P214" s="4" t="s">
        <v>6</v>
      </c>
      <c r="Q214" s="4"/>
    </row>
    <row r="215" spans="1:17" ht="17.25">
      <c r="A215" s="4">
        <f t="shared" si="17"/>
        <v>214</v>
      </c>
      <c r="B215" s="4" t="s">
        <v>365</v>
      </c>
      <c r="C215" s="4" t="s">
        <v>263</v>
      </c>
      <c r="D215" s="4">
        <v>1993</v>
      </c>
      <c r="E215" s="4">
        <f t="shared" si="16"/>
        <v>32</v>
      </c>
      <c r="F215" s="4">
        <v>863265404</v>
      </c>
      <c r="G215" s="6" t="s">
        <v>13</v>
      </c>
      <c r="H215" s="6" t="s">
        <v>25</v>
      </c>
      <c r="I215" s="6" t="s">
        <v>25</v>
      </c>
      <c r="J215" s="4">
        <v>2</v>
      </c>
      <c r="K215" s="7">
        <v>350000</v>
      </c>
      <c r="L215" s="8">
        <v>0.02</v>
      </c>
      <c r="M215" s="4" t="s">
        <v>273</v>
      </c>
      <c r="N215" s="5" t="s">
        <v>27</v>
      </c>
      <c r="O215" s="4" t="s">
        <v>23</v>
      </c>
      <c r="P215" s="4" t="s">
        <v>7</v>
      </c>
      <c r="Q215" s="4" t="s">
        <v>366</v>
      </c>
    </row>
    <row r="216" spans="1:17" ht="17.25">
      <c r="A216" s="4">
        <f t="shared" si="17"/>
        <v>215</v>
      </c>
      <c r="B216" s="15" t="s">
        <v>471</v>
      </c>
      <c r="C216" s="4" t="s">
        <v>241</v>
      </c>
      <c r="D216" s="4">
        <v>1985</v>
      </c>
      <c r="E216" s="4">
        <f t="shared" si="16"/>
        <v>40</v>
      </c>
      <c r="F216" s="4">
        <v>847744308</v>
      </c>
      <c r="G216" s="6" t="s">
        <v>13</v>
      </c>
      <c r="H216" s="6" t="s">
        <v>13</v>
      </c>
      <c r="I216" s="6" t="s">
        <v>13</v>
      </c>
      <c r="J216" s="4"/>
      <c r="K216" s="7">
        <v>330000</v>
      </c>
      <c r="L216" s="8">
        <v>0.02</v>
      </c>
      <c r="M216" s="4" t="s">
        <v>120</v>
      </c>
      <c r="N216" s="5" t="s">
        <v>158</v>
      </c>
      <c r="O216" s="4" t="s">
        <v>23</v>
      </c>
      <c r="P216" s="4" t="s">
        <v>6</v>
      </c>
      <c r="Q216" s="4"/>
    </row>
    <row r="217" spans="1:17" ht="17.25">
      <c r="A217" s="4">
        <f t="shared" si="17"/>
        <v>216</v>
      </c>
      <c r="B217" s="4" t="s">
        <v>367</v>
      </c>
      <c r="C217" s="4" t="s">
        <v>127</v>
      </c>
      <c r="D217" s="4">
        <v>1984</v>
      </c>
      <c r="E217" s="4">
        <f t="shared" si="16"/>
        <v>41</v>
      </c>
      <c r="F217" s="4">
        <v>845405961</v>
      </c>
      <c r="G217" s="6" t="s">
        <v>13</v>
      </c>
      <c r="H217" s="6" t="s">
        <v>25</v>
      </c>
      <c r="I217" s="6" t="s">
        <v>25</v>
      </c>
      <c r="J217" s="4">
        <v>3</v>
      </c>
      <c r="K217" s="7">
        <v>350000</v>
      </c>
      <c r="L217" s="8">
        <v>0.02</v>
      </c>
      <c r="M217" s="4" t="s">
        <v>368</v>
      </c>
      <c r="N217" s="5" t="s">
        <v>158</v>
      </c>
      <c r="O217" s="4" t="s">
        <v>23</v>
      </c>
      <c r="P217" s="4" t="s">
        <v>7</v>
      </c>
      <c r="Q217" s="4" t="s">
        <v>376</v>
      </c>
    </row>
    <row r="218" spans="1:17" ht="17.25">
      <c r="A218" s="4">
        <f t="shared" si="17"/>
        <v>217</v>
      </c>
      <c r="B218" s="4" t="s">
        <v>369</v>
      </c>
      <c r="C218" s="4" t="s">
        <v>241</v>
      </c>
      <c r="D218" s="4">
        <v>1991</v>
      </c>
      <c r="E218" s="4">
        <f t="shared" si="16"/>
        <v>34</v>
      </c>
      <c r="F218" s="4">
        <v>845161442</v>
      </c>
      <c r="G218" s="6" t="s">
        <v>13</v>
      </c>
      <c r="H218" s="6" t="s">
        <v>13</v>
      </c>
      <c r="I218" s="6" t="s">
        <v>13</v>
      </c>
      <c r="J218" s="4"/>
      <c r="K218" s="7">
        <v>270000</v>
      </c>
      <c r="L218" s="8">
        <v>0.02</v>
      </c>
      <c r="M218" s="4" t="s">
        <v>62</v>
      </c>
      <c r="N218" s="5" t="s">
        <v>27</v>
      </c>
      <c r="O218" s="4" t="s">
        <v>23</v>
      </c>
      <c r="P218" s="4" t="s">
        <v>6</v>
      </c>
      <c r="Q218" s="4"/>
    </row>
    <row r="219" spans="1:17" ht="17.25">
      <c r="A219" s="4">
        <f t="shared" si="17"/>
        <v>218</v>
      </c>
      <c r="B219" s="4" t="s">
        <v>370</v>
      </c>
      <c r="C219" s="4" t="s">
        <v>135</v>
      </c>
      <c r="D219" s="4">
        <v>1986</v>
      </c>
      <c r="E219" s="4">
        <f t="shared" si="16"/>
        <v>39</v>
      </c>
      <c r="F219" s="4">
        <v>844037617</v>
      </c>
      <c r="G219" s="6" t="s">
        <v>13</v>
      </c>
      <c r="H219" s="6" t="s">
        <v>13</v>
      </c>
      <c r="I219" s="6" t="s">
        <v>25</v>
      </c>
      <c r="J219" s="4"/>
      <c r="K219" s="7">
        <v>100000</v>
      </c>
      <c r="L219" s="8">
        <v>0.02</v>
      </c>
      <c r="M219" s="4" t="s">
        <v>386</v>
      </c>
      <c r="N219" s="5" t="s">
        <v>387</v>
      </c>
      <c r="O219" s="4" t="s">
        <v>23</v>
      </c>
      <c r="P219" s="4" t="s">
        <v>7</v>
      </c>
      <c r="Q219" s="4" t="s">
        <v>371</v>
      </c>
    </row>
    <row r="220" spans="1:17" ht="17.25">
      <c r="A220" s="4">
        <f t="shared" si="17"/>
        <v>219</v>
      </c>
      <c r="B220" s="4" t="s">
        <v>372</v>
      </c>
      <c r="C220" s="4" t="s">
        <v>135</v>
      </c>
      <c r="D220" s="4">
        <v>1985</v>
      </c>
      <c r="E220" s="4">
        <f t="shared" si="16"/>
        <v>40</v>
      </c>
      <c r="F220" s="4">
        <v>849359616</v>
      </c>
      <c r="G220" s="6" t="s">
        <v>13</v>
      </c>
      <c r="H220" s="6" t="s">
        <v>13</v>
      </c>
      <c r="I220" s="6" t="s">
        <v>13</v>
      </c>
      <c r="J220" s="4"/>
      <c r="K220" s="7">
        <v>120000</v>
      </c>
      <c r="L220" s="8">
        <v>0.02</v>
      </c>
      <c r="M220" s="4" t="s">
        <v>373</v>
      </c>
      <c r="N220" s="5" t="s">
        <v>27</v>
      </c>
      <c r="O220" s="4" t="s">
        <v>23</v>
      </c>
      <c r="P220" s="4" t="s">
        <v>6</v>
      </c>
      <c r="Q220" s="4"/>
    </row>
    <row r="221" spans="1:17" ht="17.25">
      <c r="A221" s="4">
        <f t="shared" si="17"/>
        <v>220</v>
      </c>
      <c r="B221" s="15" t="s">
        <v>374</v>
      </c>
      <c r="C221" s="4" t="s">
        <v>335</v>
      </c>
      <c r="D221" s="4">
        <v>2005</v>
      </c>
      <c r="E221" s="4">
        <f t="shared" si="16"/>
        <v>20</v>
      </c>
      <c r="F221" s="4">
        <v>860070690</v>
      </c>
      <c r="G221" s="6" t="s">
        <v>13</v>
      </c>
      <c r="H221" s="6" t="s">
        <v>13</v>
      </c>
      <c r="I221" s="6" t="s">
        <v>13</v>
      </c>
      <c r="J221" s="4"/>
      <c r="K221" s="7">
        <v>164320</v>
      </c>
      <c r="L221" s="8">
        <v>0.02</v>
      </c>
      <c r="M221" s="4" t="s">
        <v>94</v>
      </c>
      <c r="N221" s="5" t="s">
        <v>27</v>
      </c>
      <c r="O221" s="4" t="s">
        <v>23</v>
      </c>
      <c r="P221" s="4" t="s">
        <v>6</v>
      </c>
      <c r="Q221" s="4"/>
    </row>
    <row r="222" spans="1:17" ht="17.25">
      <c r="A222" s="4">
        <f t="shared" si="17"/>
        <v>221</v>
      </c>
      <c r="B222" s="4" t="s">
        <v>375</v>
      </c>
      <c r="C222" s="4" t="s">
        <v>241</v>
      </c>
      <c r="D222" s="4">
        <v>1991</v>
      </c>
      <c r="E222" s="4">
        <f t="shared" si="16"/>
        <v>34</v>
      </c>
      <c r="F222" s="4">
        <v>870791809</v>
      </c>
      <c r="G222" s="6" t="s">
        <v>13</v>
      </c>
      <c r="H222" s="6" t="s">
        <v>25</v>
      </c>
      <c r="I222" s="6" t="s">
        <v>25</v>
      </c>
      <c r="J222" s="4">
        <v>4</v>
      </c>
      <c r="K222" s="7">
        <v>1000000</v>
      </c>
      <c r="L222" s="8">
        <v>0.02</v>
      </c>
      <c r="M222" s="4" t="s">
        <v>94</v>
      </c>
      <c r="N222" s="5" t="s">
        <v>27</v>
      </c>
      <c r="O222" s="4" t="s">
        <v>23</v>
      </c>
      <c r="P222" s="4" t="s">
        <v>7</v>
      </c>
      <c r="Q222" s="4" t="s">
        <v>376</v>
      </c>
    </row>
    <row r="223" spans="1:17" ht="17.25">
      <c r="A223" s="4">
        <f t="shared" si="17"/>
        <v>222</v>
      </c>
      <c r="B223" s="15" t="s">
        <v>377</v>
      </c>
      <c r="C223" s="4" t="s">
        <v>127</v>
      </c>
      <c r="D223" s="4">
        <v>1979</v>
      </c>
      <c r="E223" s="4">
        <f t="shared" si="16"/>
        <v>46</v>
      </c>
      <c r="F223" s="4">
        <v>844590575</v>
      </c>
      <c r="G223" s="6" t="s">
        <v>13</v>
      </c>
      <c r="H223" s="6" t="s">
        <v>13</v>
      </c>
      <c r="I223" s="6" t="s">
        <v>13</v>
      </c>
      <c r="J223" s="4"/>
      <c r="K223" s="7">
        <v>500000</v>
      </c>
      <c r="L223" s="8">
        <v>0.02</v>
      </c>
      <c r="M223" s="4" t="s">
        <v>378</v>
      </c>
      <c r="N223" s="5" t="s">
        <v>77</v>
      </c>
      <c r="O223" s="4" t="s">
        <v>23</v>
      </c>
      <c r="P223" s="4" t="s">
        <v>6</v>
      </c>
      <c r="Q223" s="4"/>
    </row>
    <row r="224" spans="1:17" ht="17.25">
      <c r="A224" s="4">
        <f t="shared" si="17"/>
        <v>223</v>
      </c>
      <c r="B224" s="4" t="s">
        <v>379</v>
      </c>
      <c r="C224" s="4" t="s">
        <v>127</v>
      </c>
      <c r="D224" s="4">
        <v>1979</v>
      </c>
      <c r="E224" s="4">
        <f t="shared" si="16"/>
        <v>46</v>
      </c>
      <c r="F224" s="4">
        <v>847730189</v>
      </c>
      <c r="G224" s="6" t="s">
        <v>25</v>
      </c>
      <c r="H224" s="6" t="s">
        <v>25</v>
      </c>
      <c r="I224" s="6" t="s">
        <v>25</v>
      </c>
      <c r="J224" s="4">
        <v>3</v>
      </c>
      <c r="K224" s="7">
        <v>3760000</v>
      </c>
      <c r="L224" s="8">
        <v>0.02</v>
      </c>
      <c r="M224" s="4" t="s">
        <v>380</v>
      </c>
      <c r="N224" s="5" t="s">
        <v>77</v>
      </c>
      <c r="O224" s="4" t="s">
        <v>23</v>
      </c>
      <c r="P224" s="4" t="s">
        <v>7</v>
      </c>
      <c r="Q224" s="4" t="s">
        <v>354</v>
      </c>
    </row>
    <row r="225" spans="1:17" ht="17.25">
      <c r="A225" s="4">
        <f t="shared" si="17"/>
        <v>224</v>
      </c>
      <c r="B225" s="4" t="s">
        <v>381</v>
      </c>
      <c r="C225" s="4" t="s">
        <v>127</v>
      </c>
      <c r="D225" s="4">
        <v>1998</v>
      </c>
      <c r="E225" s="4">
        <f t="shared" si="16"/>
        <v>27</v>
      </c>
      <c r="F225" s="4">
        <v>847603499</v>
      </c>
      <c r="G225" s="6" t="s">
        <v>13</v>
      </c>
      <c r="H225" s="6" t="s">
        <v>13</v>
      </c>
      <c r="I225" s="6" t="s">
        <v>25</v>
      </c>
      <c r="J225" s="4">
        <v>4</v>
      </c>
      <c r="K225" s="7">
        <v>4270000</v>
      </c>
      <c r="L225" s="8">
        <v>0.02</v>
      </c>
      <c r="M225" s="4" t="s">
        <v>382</v>
      </c>
      <c r="N225" s="5" t="s">
        <v>77</v>
      </c>
      <c r="O225" s="4" t="s">
        <v>23</v>
      </c>
      <c r="P225" s="4" t="s">
        <v>7</v>
      </c>
      <c r="Q225" s="4" t="s">
        <v>383</v>
      </c>
    </row>
    <row r="226" spans="1:17" ht="17.25">
      <c r="A226" s="4">
        <f t="shared" si="17"/>
        <v>225</v>
      </c>
      <c r="B226" s="4" t="s">
        <v>385</v>
      </c>
      <c r="C226" s="4" t="s">
        <v>127</v>
      </c>
      <c r="D226" s="4">
        <v>1998</v>
      </c>
      <c r="E226" s="4">
        <f t="shared" si="16"/>
        <v>27</v>
      </c>
      <c r="F226" s="4">
        <v>864803125</v>
      </c>
      <c r="G226" s="6" t="s">
        <v>13</v>
      </c>
      <c r="H226" s="6" t="s">
        <v>13</v>
      </c>
      <c r="I226" s="6" t="s">
        <v>13</v>
      </c>
      <c r="J226" s="4"/>
      <c r="K226" s="7">
        <v>400000</v>
      </c>
      <c r="L226" s="8">
        <v>0.02</v>
      </c>
      <c r="M226" s="4" t="s">
        <v>386</v>
      </c>
      <c r="N226" s="5" t="s">
        <v>387</v>
      </c>
      <c r="O226" s="4" t="s">
        <v>23</v>
      </c>
      <c r="P226" s="4" t="s">
        <v>6</v>
      </c>
      <c r="Q226" s="4"/>
    </row>
    <row r="227" spans="1:17" ht="17.25">
      <c r="A227" s="4">
        <f t="shared" si="17"/>
        <v>226</v>
      </c>
      <c r="B227" s="4" t="s">
        <v>388</v>
      </c>
      <c r="C227" s="4" t="s">
        <v>127</v>
      </c>
      <c r="D227" s="4">
        <v>1981</v>
      </c>
      <c r="E227" s="4">
        <f t="shared" si="16"/>
        <v>44</v>
      </c>
      <c r="F227" s="4">
        <v>865004326</v>
      </c>
      <c r="G227" s="6" t="s">
        <v>13</v>
      </c>
      <c r="H227" s="6" t="s">
        <v>25</v>
      </c>
      <c r="I227" s="6" t="s">
        <v>13</v>
      </c>
      <c r="J227" s="4"/>
      <c r="K227" s="7">
        <v>49968</v>
      </c>
      <c r="L227" s="8">
        <v>0.02</v>
      </c>
      <c r="M227" s="4" t="s">
        <v>389</v>
      </c>
      <c r="N227" s="5" t="s">
        <v>387</v>
      </c>
      <c r="O227" s="4" t="s">
        <v>23</v>
      </c>
      <c r="P227" s="4" t="s">
        <v>7</v>
      </c>
      <c r="Q227" s="4" t="s">
        <v>131</v>
      </c>
    </row>
    <row r="228" spans="1:17" ht="17.25">
      <c r="A228" s="4">
        <f t="shared" si="17"/>
        <v>227</v>
      </c>
      <c r="B228" s="4" t="s">
        <v>390</v>
      </c>
      <c r="C228" s="4" t="s">
        <v>127</v>
      </c>
      <c r="D228" s="4">
        <v>1993</v>
      </c>
      <c r="E228" s="4">
        <f t="shared" si="16"/>
        <v>32</v>
      </c>
      <c r="F228" s="4">
        <v>841030907</v>
      </c>
      <c r="G228" s="6" t="s">
        <v>13</v>
      </c>
      <c r="H228" s="6" t="s">
        <v>13</v>
      </c>
      <c r="I228" s="6" t="s">
        <v>13</v>
      </c>
      <c r="J228" s="4"/>
      <c r="K228" s="7">
        <v>200000</v>
      </c>
      <c r="L228" s="8">
        <v>0.02</v>
      </c>
      <c r="M228" s="4" t="s">
        <v>167</v>
      </c>
      <c r="N228" s="5" t="s">
        <v>77</v>
      </c>
      <c r="O228" s="4" t="s">
        <v>23</v>
      </c>
      <c r="P228" s="4" t="s">
        <v>6</v>
      </c>
      <c r="Q228" s="4"/>
    </row>
    <row r="229" spans="1:17" ht="17.25">
      <c r="A229" s="4">
        <f t="shared" si="17"/>
        <v>228</v>
      </c>
      <c r="B229" s="15" t="s">
        <v>391</v>
      </c>
      <c r="C229" s="4" t="s">
        <v>127</v>
      </c>
      <c r="D229" s="4">
        <v>1993</v>
      </c>
      <c r="E229" s="4">
        <f t="shared" si="16"/>
        <v>32</v>
      </c>
      <c r="F229" s="4">
        <v>842372661</v>
      </c>
      <c r="G229" s="6" t="s">
        <v>13</v>
      </c>
      <c r="H229" s="6" t="s">
        <v>13</v>
      </c>
      <c r="I229" s="6" t="s">
        <v>13</v>
      </c>
      <c r="J229" s="4"/>
      <c r="K229" s="7">
        <v>500000</v>
      </c>
      <c r="L229" s="8">
        <v>0.02</v>
      </c>
      <c r="M229" s="4" t="s">
        <v>392</v>
      </c>
      <c r="N229" s="5" t="s">
        <v>27</v>
      </c>
      <c r="O229" s="4" t="s">
        <v>23</v>
      </c>
      <c r="P229" s="4" t="s">
        <v>6</v>
      </c>
      <c r="Q229" s="4"/>
    </row>
    <row r="230" spans="1:17" ht="17.25">
      <c r="A230" s="4">
        <f t="shared" si="17"/>
        <v>229</v>
      </c>
      <c r="B230" s="4" t="s">
        <v>393</v>
      </c>
      <c r="C230" s="4" t="s">
        <v>127</v>
      </c>
      <c r="D230" s="4">
        <v>1980</v>
      </c>
      <c r="E230" s="4">
        <f t="shared" si="16"/>
        <v>45</v>
      </c>
      <c r="F230" s="4">
        <v>870509734</v>
      </c>
      <c r="G230" s="6" t="s">
        <v>13</v>
      </c>
      <c r="H230" s="6" t="s">
        <v>13</v>
      </c>
      <c r="I230" s="6" t="s">
        <v>13</v>
      </c>
      <c r="J230" s="4"/>
      <c r="K230" s="7">
        <v>250000</v>
      </c>
      <c r="L230" s="8">
        <v>0.02</v>
      </c>
      <c r="M230" s="4" t="s">
        <v>94</v>
      </c>
      <c r="N230" s="5" t="s">
        <v>27</v>
      </c>
      <c r="O230" s="4" t="s">
        <v>23</v>
      </c>
      <c r="P230" s="4" t="s">
        <v>6</v>
      </c>
      <c r="Q230" s="4"/>
    </row>
    <row r="231" spans="1:17" ht="17.25">
      <c r="A231" s="4">
        <f t="shared" si="17"/>
        <v>230</v>
      </c>
      <c r="B231" s="4" t="s">
        <v>394</v>
      </c>
      <c r="C231" s="4" t="s">
        <v>127</v>
      </c>
      <c r="D231" s="4">
        <v>1984</v>
      </c>
      <c r="E231" s="4">
        <f t="shared" si="16"/>
        <v>41</v>
      </c>
      <c r="F231" s="4">
        <v>874876541</v>
      </c>
      <c r="G231" s="6" t="s">
        <v>13</v>
      </c>
      <c r="H231" s="6" t="s">
        <v>13</v>
      </c>
      <c r="I231" s="6" t="s">
        <v>13</v>
      </c>
      <c r="J231" s="4"/>
      <c r="K231" s="7">
        <v>50000</v>
      </c>
      <c r="L231" s="8">
        <v>0.02</v>
      </c>
      <c r="M231" s="4" t="s">
        <v>395</v>
      </c>
      <c r="N231" s="5" t="s">
        <v>27</v>
      </c>
      <c r="O231" s="4" t="s">
        <v>23</v>
      </c>
      <c r="P231" s="4" t="s">
        <v>6</v>
      </c>
      <c r="Q231" s="4"/>
    </row>
    <row r="232" spans="1:17" ht="17.25">
      <c r="A232" s="4">
        <f t="shared" si="17"/>
        <v>231</v>
      </c>
      <c r="B232" s="4" t="s">
        <v>396</v>
      </c>
      <c r="C232" s="4" t="s">
        <v>135</v>
      </c>
      <c r="D232" s="4"/>
      <c r="E232" s="4"/>
      <c r="F232" s="4">
        <v>844877612</v>
      </c>
      <c r="G232" s="6" t="s">
        <v>25</v>
      </c>
      <c r="H232" s="6" t="s">
        <v>13</v>
      </c>
      <c r="I232" s="6" t="s">
        <v>25</v>
      </c>
      <c r="J232" s="4"/>
      <c r="K232" s="7">
        <v>100000</v>
      </c>
      <c r="L232" s="8">
        <v>0.02</v>
      </c>
      <c r="M232" s="4" t="s">
        <v>386</v>
      </c>
      <c r="N232" s="5" t="s">
        <v>387</v>
      </c>
      <c r="O232" s="4" t="s">
        <v>23</v>
      </c>
      <c r="P232" s="4" t="s">
        <v>7</v>
      </c>
      <c r="Q232" s="4" t="s">
        <v>397</v>
      </c>
    </row>
    <row r="233" spans="1:17" ht="17.25">
      <c r="A233" s="4">
        <f t="shared" si="17"/>
        <v>232</v>
      </c>
      <c r="B233" s="4" t="s">
        <v>398</v>
      </c>
      <c r="C233" s="4" t="s">
        <v>263</v>
      </c>
      <c r="D233" s="4">
        <v>1985</v>
      </c>
      <c r="E233" s="4">
        <f t="shared" ref="E233:E255" si="18">2025-D233</f>
        <v>40</v>
      </c>
      <c r="F233" s="4">
        <v>844316118</v>
      </c>
      <c r="G233" s="6" t="s">
        <v>13</v>
      </c>
      <c r="H233" s="6" t="s">
        <v>13</v>
      </c>
      <c r="I233" s="6" t="s">
        <v>25</v>
      </c>
      <c r="J233" s="4"/>
      <c r="K233" s="7">
        <v>350000</v>
      </c>
      <c r="L233" s="8">
        <v>0.02</v>
      </c>
      <c r="M233" s="4" t="s">
        <v>167</v>
      </c>
      <c r="N233" s="5" t="s">
        <v>77</v>
      </c>
      <c r="O233" s="4" t="s">
        <v>23</v>
      </c>
      <c r="P233" s="4" t="s">
        <v>7</v>
      </c>
      <c r="Q233" s="4" t="s">
        <v>371</v>
      </c>
    </row>
    <row r="234" spans="1:17" ht="17.25">
      <c r="A234" s="4">
        <f t="shared" si="17"/>
        <v>233</v>
      </c>
      <c r="B234" s="4" t="s">
        <v>399</v>
      </c>
      <c r="C234" s="4" t="s">
        <v>263</v>
      </c>
      <c r="D234" s="4">
        <v>1991</v>
      </c>
      <c r="E234" s="4">
        <f t="shared" si="18"/>
        <v>34</v>
      </c>
      <c r="F234" s="4">
        <v>861607058</v>
      </c>
      <c r="G234" s="6" t="s">
        <v>13</v>
      </c>
      <c r="H234" s="6" t="s">
        <v>13</v>
      </c>
      <c r="I234" s="6" t="s">
        <v>25</v>
      </c>
      <c r="J234" s="4">
        <v>2</v>
      </c>
      <c r="K234" s="7">
        <v>400000</v>
      </c>
      <c r="L234" s="8">
        <v>0.02</v>
      </c>
      <c r="M234" s="4" t="s">
        <v>400</v>
      </c>
      <c r="N234" s="5" t="s">
        <v>77</v>
      </c>
      <c r="O234" s="4" t="s">
        <v>23</v>
      </c>
      <c r="P234" s="4" t="s">
        <v>7</v>
      </c>
      <c r="Q234" s="4" t="s">
        <v>383</v>
      </c>
    </row>
    <row r="235" spans="1:17" ht="17.25">
      <c r="A235" s="4">
        <f t="shared" si="17"/>
        <v>234</v>
      </c>
      <c r="B235" s="4" t="s">
        <v>401</v>
      </c>
      <c r="C235" s="4" t="s">
        <v>127</v>
      </c>
      <c r="D235" s="4">
        <v>1998</v>
      </c>
      <c r="E235" s="4">
        <f t="shared" si="18"/>
        <v>27</v>
      </c>
      <c r="F235" s="4">
        <v>845553438</v>
      </c>
      <c r="G235" s="6" t="s">
        <v>13</v>
      </c>
      <c r="H235" s="6" t="s">
        <v>13</v>
      </c>
      <c r="I235" s="6" t="s">
        <v>25</v>
      </c>
      <c r="J235" s="4">
        <v>2</v>
      </c>
      <c r="K235" s="7">
        <v>300000</v>
      </c>
      <c r="L235" s="8">
        <v>0.02</v>
      </c>
      <c r="M235" s="4" t="s">
        <v>235</v>
      </c>
      <c r="N235" s="5" t="s">
        <v>27</v>
      </c>
      <c r="O235" s="4" t="s">
        <v>23</v>
      </c>
      <c r="P235" s="4" t="s">
        <v>7</v>
      </c>
      <c r="Q235" s="4" t="s">
        <v>383</v>
      </c>
    </row>
    <row r="236" spans="1:17" ht="17.25">
      <c r="A236" s="4">
        <f t="shared" si="17"/>
        <v>235</v>
      </c>
      <c r="B236" s="4" t="s">
        <v>432</v>
      </c>
      <c r="C236" s="4" t="s">
        <v>127</v>
      </c>
      <c r="D236" s="4">
        <v>1979</v>
      </c>
      <c r="E236" s="4">
        <f t="shared" si="18"/>
        <v>46</v>
      </c>
      <c r="F236" s="4">
        <v>870490328</v>
      </c>
      <c r="G236" s="6" t="s">
        <v>13</v>
      </c>
      <c r="H236" s="6" t="s">
        <v>13</v>
      </c>
      <c r="I236" s="6" t="s">
        <v>13</v>
      </c>
      <c r="J236" s="4"/>
      <c r="K236" s="7">
        <v>150000</v>
      </c>
      <c r="L236" s="8">
        <v>0.02</v>
      </c>
      <c r="M236" s="4" t="s">
        <v>62</v>
      </c>
      <c r="N236" s="5" t="s">
        <v>27</v>
      </c>
      <c r="O236" s="4" t="s">
        <v>23</v>
      </c>
      <c r="P236" s="4" t="s">
        <v>6</v>
      </c>
      <c r="Q236" s="4"/>
    </row>
    <row r="237" spans="1:17" ht="17.25">
      <c r="A237" s="4">
        <f t="shared" si="17"/>
        <v>236</v>
      </c>
      <c r="B237" s="15" t="s">
        <v>402</v>
      </c>
      <c r="C237" s="4" t="s">
        <v>127</v>
      </c>
      <c r="D237" s="4">
        <v>1994</v>
      </c>
      <c r="E237" s="4">
        <f t="shared" si="18"/>
        <v>31</v>
      </c>
      <c r="F237" s="4">
        <v>844231816</v>
      </c>
      <c r="G237" s="6" t="s">
        <v>13</v>
      </c>
      <c r="H237" s="6" t="s">
        <v>13</v>
      </c>
      <c r="I237" s="6" t="s">
        <v>13</v>
      </c>
      <c r="J237" s="4"/>
      <c r="K237" s="7">
        <v>150000</v>
      </c>
      <c r="L237" s="8">
        <v>0.02</v>
      </c>
      <c r="M237" s="4" t="s">
        <v>403</v>
      </c>
      <c r="N237" s="5" t="s">
        <v>387</v>
      </c>
      <c r="O237" s="4" t="s">
        <v>23</v>
      </c>
      <c r="P237" s="4" t="s">
        <v>6</v>
      </c>
      <c r="Q237" s="4"/>
    </row>
    <row r="238" spans="1:17" ht="17.25">
      <c r="A238" s="4">
        <f t="shared" si="17"/>
        <v>237</v>
      </c>
      <c r="B238" s="15" t="s">
        <v>472</v>
      </c>
      <c r="C238" s="4" t="s">
        <v>241</v>
      </c>
      <c r="D238" s="4">
        <v>1998</v>
      </c>
      <c r="E238" s="4">
        <f t="shared" si="18"/>
        <v>27</v>
      </c>
      <c r="F238" s="4">
        <v>840240792</v>
      </c>
      <c r="G238" s="6" t="s">
        <v>13</v>
      </c>
      <c r="H238" s="6" t="s">
        <v>13</v>
      </c>
      <c r="I238" s="6" t="s">
        <v>13</v>
      </c>
      <c r="J238" s="4"/>
      <c r="K238" s="7">
        <v>50000</v>
      </c>
      <c r="L238" s="8">
        <v>0.02</v>
      </c>
      <c r="M238" s="4" t="s">
        <v>167</v>
      </c>
      <c r="N238" s="5" t="s">
        <v>77</v>
      </c>
      <c r="O238" s="4" t="s">
        <v>23</v>
      </c>
      <c r="P238" s="4" t="s">
        <v>6</v>
      </c>
      <c r="Q238" s="4"/>
    </row>
    <row r="239" spans="1:17" ht="17.25">
      <c r="A239" s="4">
        <f t="shared" si="17"/>
        <v>238</v>
      </c>
      <c r="B239" s="15"/>
      <c r="C239" s="4" t="s">
        <v>135</v>
      </c>
      <c r="D239" s="4">
        <v>1993</v>
      </c>
      <c r="E239" s="4">
        <f t="shared" si="18"/>
        <v>32</v>
      </c>
      <c r="F239" s="4">
        <v>848405684</v>
      </c>
      <c r="G239" s="6" t="s">
        <v>13</v>
      </c>
      <c r="H239" s="6" t="s">
        <v>13</v>
      </c>
      <c r="I239" s="6" t="s">
        <v>13</v>
      </c>
      <c r="J239" s="4"/>
      <c r="K239" s="7">
        <v>50000</v>
      </c>
      <c r="L239" s="8">
        <v>0.02</v>
      </c>
      <c r="M239" s="4" t="s">
        <v>167</v>
      </c>
      <c r="N239" s="5" t="s">
        <v>77</v>
      </c>
      <c r="O239" s="4" t="s">
        <v>23</v>
      </c>
      <c r="P239" s="4" t="s">
        <v>6</v>
      </c>
      <c r="Q239" s="4"/>
    </row>
    <row r="240" spans="1:17" ht="17.25">
      <c r="A240" s="4">
        <f t="shared" si="17"/>
        <v>239</v>
      </c>
      <c r="B240" s="4" t="s">
        <v>404</v>
      </c>
      <c r="C240" s="4" t="s">
        <v>127</v>
      </c>
      <c r="D240" s="4">
        <v>1990</v>
      </c>
      <c r="E240" s="4">
        <f t="shared" si="18"/>
        <v>35</v>
      </c>
      <c r="F240" s="4">
        <v>842184030</v>
      </c>
      <c r="G240" s="6" t="s">
        <v>25</v>
      </c>
      <c r="H240" s="6" t="s">
        <v>25</v>
      </c>
      <c r="I240" s="6" t="s">
        <v>25</v>
      </c>
      <c r="J240" s="4">
        <v>5</v>
      </c>
      <c r="K240" s="7">
        <v>600000</v>
      </c>
      <c r="L240" s="8">
        <v>0.02</v>
      </c>
      <c r="M240" s="4" t="s">
        <v>118</v>
      </c>
      <c r="N240" s="5" t="s">
        <v>27</v>
      </c>
      <c r="O240" s="4" t="s">
        <v>23</v>
      </c>
      <c r="P240" s="4" t="s">
        <v>7</v>
      </c>
      <c r="Q240" s="4" t="s">
        <v>424</v>
      </c>
    </row>
    <row r="241" spans="1:17" ht="17.25">
      <c r="A241" s="4">
        <f t="shared" si="17"/>
        <v>240</v>
      </c>
      <c r="B241" s="4" t="s">
        <v>405</v>
      </c>
      <c r="C241" s="4" t="s">
        <v>127</v>
      </c>
      <c r="D241" s="4">
        <v>1970</v>
      </c>
      <c r="E241" s="4">
        <f t="shared" si="18"/>
        <v>55</v>
      </c>
      <c r="F241" s="4">
        <v>846015387</v>
      </c>
      <c r="G241" s="6" t="s">
        <v>13</v>
      </c>
      <c r="H241" s="6" t="s">
        <v>13</v>
      </c>
      <c r="I241" s="6" t="s">
        <v>13</v>
      </c>
      <c r="J241" s="4"/>
      <c r="K241" s="7">
        <v>600000</v>
      </c>
      <c r="L241" s="8">
        <v>0.02</v>
      </c>
      <c r="M241" s="4" t="s">
        <v>400</v>
      </c>
      <c r="N241" s="5" t="s">
        <v>77</v>
      </c>
      <c r="O241" s="4" t="s">
        <v>23</v>
      </c>
      <c r="P241" s="4" t="s">
        <v>6</v>
      </c>
      <c r="Q241" s="4"/>
    </row>
    <row r="242" spans="1:17" ht="17.25">
      <c r="A242" s="4">
        <f t="shared" si="17"/>
        <v>241</v>
      </c>
      <c r="B242" s="4" t="s">
        <v>433</v>
      </c>
      <c r="C242" s="4" t="s">
        <v>160</v>
      </c>
      <c r="D242" s="4">
        <v>1973</v>
      </c>
      <c r="E242" s="4">
        <f t="shared" si="18"/>
        <v>52</v>
      </c>
      <c r="F242" s="4">
        <v>852991906</v>
      </c>
      <c r="G242" s="6" t="s">
        <v>13</v>
      </c>
      <c r="H242" s="6" t="s">
        <v>13</v>
      </c>
      <c r="I242" s="6" t="s">
        <v>25</v>
      </c>
      <c r="J242" s="4"/>
      <c r="K242" s="7">
        <v>200000</v>
      </c>
      <c r="L242" s="8">
        <v>0.02</v>
      </c>
      <c r="M242" s="4" t="s">
        <v>94</v>
      </c>
      <c r="N242" s="5" t="s">
        <v>27</v>
      </c>
      <c r="O242" s="4" t="s">
        <v>23</v>
      </c>
      <c r="P242" s="4" t="s">
        <v>7</v>
      </c>
      <c r="Q242" s="4" t="s">
        <v>371</v>
      </c>
    </row>
    <row r="243" spans="1:17" ht="17.25">
      <c r="A243" s="4">
        <f t="shared" si="17"/>
        <v>242</v>
      </c>
      <c r="B243" s="4" t="s">
        <v>406</v>
      </c>
      <c r="C243" s="4" t="s">
        <v>160</v>
      </c>
      <c r="D243" s="4">
        <v>1984</v>
      </c>
      <c r="E243" s="4">
        <f t="shared" si="18"/>
        <v>41</v>
      </c>
      <c r="F243" s="4">
        <v>857904012</v>
      </c>
      <c r="G243" s="6" t="s">
        <v>13</v>
      </c>
      <c r="H243" s="6" t="s">
        <v>13</v>
      </c>
      <c r="I243" s="6" t="s">
        <v>25</v>
      </c>
      <c r="J243" s="4"/>
      <c r="K243" s="7">
        <v>263000</v>
      </c>
      <c r="L243" s="8">
        <v>0.02</v>
      </c>
      <c r="M243" s="4" t="s">
        <v>62</v>
      </c>
      <c r="N243" s="5" t="s">
        <v>27</v>
      </c>
      <c r="O243" s="4" t="s">
        <v>23</v>
      </c>
      <c r="P243" s="4" t="s">
        <v>7</v>
      </c>
      <c r="Q243" s="4" t="s">
        <v>371</v>
      </c>
    </row>
    <row r="244" spans="1:17" ht="17.25">
      <c r="A244" s="4">
        <f t="shared" si="17"/>
        <v>243</v>
      </c>
      <c r="B244" s="4" t="s">
        <v>407</v>
      </c>
      <c r="C244" s="4" t="s">
        <v>160</v>
      </c>
      <c r="D244" s="4">
        <v>1978</v>
      </c>
      <c r="E244" s="4">
        <f t="shared" si="18"/>
        <v>47</v>
      </c>
      <c r="F244" s="4">
        <v>847403205</v>
      </c>
      <c r="G244" s="6" t="s">
        <v>13</v>
      </c>
      <c r="H244" s="6" t="s">
        <v>13</v>
      </c>
      <c r="I244" s="6" t="s">
        <v>25</v>
      </c>
      <c r="J244" s="4"/>
      <c r="K244" s="7">
        <v>203407</v>
      </c>
      <c r="L244" s="8">
        <v>0.02</v>
      </c>
      <c r="M244" s="4" t="s">
        <v>120</v>
      </c>
      <c r="N244" s="5" t="s">
        <v>387</v>
      </c>
      <c r="O244" s="4" t="s">
        <v>23</v>
      </c>
      <c r="P244" s="4" t="s">
        <v>7</v>
      </c>
      <c r="Q244" s="4" t="s">
        <v>371</v>
      </c>
    </row>
    <row r="245" spans="1:17" ht="17.25">
      <c r="A245" s="4">
        <f t="shared" si="17"/>
        <v>244</v>
      </c>
      <c r="B245" s="4" t="s">
        <v>408</v>
      </c>
      <c r="C245" s="4" t="s">
        <v>127</v>
      </c>
      <c r="D245" s="4"/>
      <c r="E245" s="4"/>
      <c r="F245" s="4">
        <v>860059102</v>
      </c>
      <c r="G245" s="6" t="s">
        <v>25</v>
      </c>
      <c r="H245" s="6" t="s">
        <v>25</v>
      </c>
      <c r="I245" s="6" t="s">
        <v>25</v>
      </c>
      <c r="J245" s="4"/>
      <c r="K245" s="7">
        <v>100000</v>
      </c>
      <c r="L245" s="8">
        <v>0.02</v>
      </c>
      <c r="M245" s="4" t="s">
        <v>118</v>
      </c>
      <c r="N245" s="5" t="s">
        <v>27</v>
      </c>
      <c r="O245" s="4" t="s">
        <v>23</v>
      </c>
      <c r="P245" s="4" t="s">
        <v>7</v>
      </c>
      <c r="Q245" s="4" t="s">
        <v>281</v>
      </c>
    </row>
    <row r="246" spans="1:17" ht="17.25">
      <c r="A246" s="4">
        <f t="shared" si="17"/>
        <v>245</v>
      </c>
      <c r="B246" s="4" t="s">
        <v>409</v>
      </c>
      <c r="C246" s="4" t="s">
        <v>160</v>
      </c>
      <c r="D246" s="4">
        <v>1991</v>
      </c>
      <c r="E246" s="4">
        <f t="shared" si="18"/>
        <v>34</v>
      </c>
      <c r="F246" s="4">
        <v>845305120</v>
      </c>
      <c r="G246" s="6" t="s">
        <v>13</v>
      </c>
      <c r="H246" s="6" t="s">
        <v>13</v>
      </c>
      <c r="I246" s="6" t="s">
        <v>25</v>
      </c>
      <c r="J246" s="4"/>
      <c r="K246" s="7">
        <v>380000</v>
      </c>
      <c r="L246" s="8">
        <v>0.02</v>
      </c>
      <c r="M246" s="4" t="s">
        <v>410</v>
      </c>
      <c r="N246" s="5" t="s">
        <v>387</v>
      </c>
      <c r="O246" s="4" t="s">
        <v>23</v>
      </c>
      <c r="P246" s="4" t="s">
        <v>7</v>
      </c>
      <c r="Q246" s="4" t="s">
        <v>371</v>
      </c>
    </row>
    <row r="247" spans="1:17" ht="17.25">
      <c r="A247" s="4">
        <f t="shared" si="17"/>
        <v>246</v>
      </c>
      <c r="B247" s="4" t="s">
        <v>411</v>
      </c>
      <c r="C247" s="4" t="s">
        <v>332</v>
      </c>
      <c r="D247" s="4">
        <v>2007</v>
      </c>
      <c r="E247" s="4">
        <f t="shared" si="18"/>
        <v>18</v>
      </c>
      <c r="F247" s="4">
        <v>864173234</v>
      </c>
      <c r="G247" s="6" t="s">
        <v>13</v>
      </c>
      <c r="H247" s="6" t="s">
        <v>13</v>
      </c>
      <c r="I247" s="6" t="s">
        <v>25</v>
      </c>
      <c r="J247" s="4"/>
      <c r="K247" s="7">
        <v>93400</v>
      </c>
      <c r="L247" s="8">
        <v>0.02</v>
      </c>
      <c r="M247" s="4" t="s">
        <v>167</v>
      </c>
      <c r="N247" s="5" t="s">
        <v>77</v>
      </c>
      <c r="O247" s="4" t="s">
        <v>23</v>
      </c>
      <c r="P247" s="4" t="s">
        <v>7</v>
      </c>
      <c r="Q247" s="4" t="s">
        <v>371</v>
      </c>
    </row>
    <row r="248" spans="1:17" ht="17.25">
      <c r="A248" s="4">
        <f t="shared" si="17"/>
        <v>247</v>
      </c>
      <c r="B248" s="4" t="s">
        <v>412</v>
      </c>
      <c r="C248" s="4" t="s">
        <v>332</v>
      </c>
      <c r="D248" s="4">
        <v>1989</v>
      </c>
      <c r="E248" s="4">
        <f t="shared" si="18"/>
        <v>36</v>
      </c>
      <c r="F248" s="4">
        <v>864124060</v>
      </c>
      <c r="G248" s="6" t="s">
        <v>13</v>
      </c>
      <c r="H248" s="6" t="s">
        <v>13</v>
      </c>
      <c r="I248" s="6" t="s">
        <v>25</v>
      </c>
      <c r="J248" s="4"/>
      <c r="K248" s="7">
        <v>350000</v>
      </c>
      <c r="L248" s="8">
        <v>0.02</v>
      </c>
      <c r="M248" s="4" t="s">
        <v>94</v>
      </c>
      <c r="N248" s="5" t="s">
        <v>27</v>
      </c>
      <c r="O248" s="4" t="s">
        <v>23</v>
      </c>
      <c r="P248" s="4" t="s">
        <v>7</v>
      </c>
      <c r="Q248" s="4" t="s">
        <v>371</v>
      </c>
    </row>
    <row r="249" spans="1:17" ht="17.25">
      <c r="A249" s="4">
        <f t="shared" si="17"/>
        <v>248</v>
      </c>
      <c r="B249" s="4" t="s">
        <v>413</v>
      </c>
      <c r="C249" s="4" t="s">
        <v>135</v>
      </c>
      <c r="D249" s="4">
        <v>1991</v>
      </c>
      <c r="E249" s="4">
        <f t="shared" si="18"/>
        <v>34</v>
      </c>
      <c r="F249" s="4">
        <v>843987043</v>
      </c>
      <c r="G249" s="6" t="s">
        <v>13</v>
      </c>
      <c r="H249" s="6" t="s">
        <v>13</v>
      </c>
      <c r="I249" s="6" t="s">
        <v>25</v>
      </c>
      <c r="J249" s="4"/>
      <c r="K249" s="7">
        <v>85000</v>
      </c>
      <c r="L249" s="8">
        <v>0.02</v>
      </c>
      <c r="M249" s="4" t="s">
        <v>94</v>
      </c>
      <c r="N249" s="5" t="s">
        <v>27</v>
      </c>
      <c r="O249" s="4" t="s">
        <v>23</v>
      </c>
      <c r="P249" s="4" t="s">
        <v>7</v>
      </c>
      <c r="Q249" s="4" t="s">
        <v>371</v>
      </c>
    </row>
    <row r="250" spans="1:17" ht="17.25">
      <c r="A250" s="4">
        <f t="shared" si="17"/>
        <v>249</v>
      </c>
      <c r="B250" s="4" t="s">
        <v>414</v>
      </c>
      <c r="C250" s="4" t="s">
        <v>127</v>
      </c>
      <c r="D250" s="4">
        <v>2002</v>
      </c>
      <c r="E250" s="4">
        <f t="shared" si="18"/>
        <v>23</v>
      </c>
      <c r="F250" s="4">
        <v>867126394</v>
      </c>
      <c r="G250" s="6" t="s">
        <v>25</v>
      </c>
      <c r="H250" s="6" t="s">
        <v>25</v>
      </c>
      <c r="I250" s="6" t="s">
        <v>25</v>
      </c>
      <c r="J250" s="4">
        <v>3</v>
      </c>
      <c r="K250" s="7">
        <v>96000</v>
      </c>
      <c r="L250" s="8">
        <v>0.02</v>
      </c>
      <c r="M250" s="4" t="s">
        <v>279</v>
      </c>
      <c r="N250" s="5" t="s">
        <v>77</v>
      </c>
      <c r="O250" s="4" t="s">
        <v>23</v>
      </c>
      <c r="P250" s="4" t="s">
        <v>7</v>
      </c>
      <c r="Q250" s="4" t="s">
        <v>415</v>
      </c>
    </row>
    <row r="251" spans="1:17" ht="17.25">
      <c r="A251" s="4">
        <f t="shared" si="17"/>
        <v>250</v>
      </c>
      <c r="B251" s="4" t="s">
        <v>416</v>
      </c>
      <c r="C251" s="4" t="s">
        <v>241</v>
      </c>
      <c r="D251" s="4">
        <v>1990</v>
      </c>
      <c r="E251" s="4">
        <f t="shared" si="18"/>
        <v>35</v>
      </c>
      <c r="F251" s="4">
        <v>847169600</v>
      </c>
      <c r="G251" s="6" t="s">
        <v>13</v>
      </c>
      <c r="H251" s="6" t="s">
        <v>13</v>
      </c>
      <c r="I251" s="6" t="s">
        <v>25</v>
      </c>
      <c r="J251" s="4"/>
      <c r="K251" s="7">
        <v>250000</v>
      </c>
      <c r="L251" s="8">
        <v>0.02</v>
      </c>
      <c r="M251" s="4" t="s">
        <v>279</v>
      </c>
      <c r="N251" s="5" t="s">
        <v>77</v>
      </c>
      <c r="O251" s="4" t="s">
        <v>23</v>
      </c>
      <c r="P251" s="4" t="s">
        <v>7</v>
      </c>
      <c r="Q251" s="4" t="s">
        <v>207</v>
      </c>
    </row>
    <row r="252" spans="1:17" ht="17.25">
      <c r="A252" s="4">
        <f t="shared" si="17"/>
        <v>251</v>
      </c>
      <c r="B252" s="4" t="s">
        <v>417</v>
      </c>
      <c r="C252" s="4" t="s">
        <v>241</v>
      </c>
      <c r="D252" s="4">
        <v>1998</v>
      </c>
      <c r="E252" s="4">
        <f t="shared" si="18"/>
        <v>27</v>
      </c>
      <c r="F252" s="4">
        <v>863536946</v>
      </c>
      <c r="G252" s="6" t="s">
        <v>13</v>
      </c>
      <c r="H252" s="6" t="s">
        <v>13</v>
      </c>
      <c r="I252" s="6" t="s">
        <v>25</v>
      </c>
      <c r="J252" s="4"/>
      <c r="K252" s="7">
        <v>300000</v>
      </c>
      <c r="L252" s="8">
        <v>0.02</v>
      </c>
      <c r="M252" s="4" t="s">
        <v>419</v>
      </c>
      <c r="N252" s="5" t="s">
        <v>77</v>
      </c>
      <c r="O252" s="4" t="s">
        <v>23</v>
      </c>
      <c r="P252" s="4" t="s">
        <v>7</v>
      </c>
      <c r="Q252" s="4" t="s">
        <v>207</v>
      </c>
    </row>
    <row r="253" spans="1:17" ht="17.25">
      <c r="A253" s="4">
        <f t="shared" si="17"/>
        <v>252</v>
      </c>
      <c r="B253" s="4" t="s">
        <v>420</v>
      </c>
      <c r="C253" s="4" t="s">
        <v>263</v>
      </c>
      <c r="D253" s="4">
        <v>1994</v>
      </c>
      <c r="E253" s="4">
        <f t="shared" si="18"/>
        <v>31</v>
      </c>
      <c r="F253" s="4">
        <v>879740552</v>
      </c>
      <c r="G253" s="6" t="s">
        <v>13</v>
      </c>
      <c r="H253" s="6" t="s">
        <v>13</v>
      </c>
      <c r="I253" s="6" t="s">
        <v>25</v>
      </c>
      <c r="J253" s="4"/>
      <c r="K253" s="7">
        <v>100000</v>
      </c>
      <c r="L253" s="8">
        <v>0.02</v>
      </c>
      <c r="M253" s="4" t="s">
        <v>94</v>
      </c>
      <c r="N253" s="5" t="s">
        <v>27</v>
      </c>
      <c r="O253" s="4" t="s">
        <v>23</v>
      </c>
      <c r="P253" s="4" t="s">
        <v>7</v>
      </c>
      <c r="Q253" s="4" t="s">
        <v>371</v>
      </c>
    </row>
    <row r="254" spans="1:17" ht="17.25">
      <c r="A254" s="4">
        <f t="shared" si="17"/>
        <v>253</v>
      </c>
      <c r="B254" s="4" t="s">
        <v>421</v>
      </c>
      <c r="C254" s="4" t="s">
        <v>135</v>
      </c>
      <c r="D254" s="4">
        <v>1956</v>
      </c>
      <c r="E254" s="4">
        <f t="shared" si="18"/>
        <v>69</v>
      </c>
      <c r="F254" s="4">
        <v>861570064</v>
      </c>
      <c r="G254" s="6" t="s">
        <v>13</v>
      </c>
      <c r="H254" s="6" t="s">
        <v>13</v>
      </c>
      <c r="I254" s="6" t="s">
        <v>25</v>
      </c>
      <c r="J254" s="4"/>
      <c r="K254" s="7">
        <v>60000</v>
      </c>
      <c r="L254" s="8">
        <v>0.02</v>
      </c>
      <c r="M254" s="4" t="s">
        <v>94</v>
      </c>
      <c r="N254" s="5" t="s">
        <v>27</v>
      </c>
      <c r="O254" s="4" t="s">
        <v>23</v>
      </c>
      <c r="P254" s="4" t="s">
        <v>7</v>
      </c>
      <c r="Q254" s="4" t="s">
        <v>371</v>
      </c>
    </row>
    <row r="255" spans="1:17" ht="17.25">
      <c r="A255" s="4">
        <f t="shared" si="17"/>
        <v>254</v>
      </c>
      <c r="B255" s="4" t="s">
        <v>422</v>
      </c>
      <c r="C255" s="4" t="s">
        <v>263</v>
      </c>
      <c r="D255" s="4">
        <v>1987</v>
      </c>
      <c r="E255" s="4">
        <f t="shared" si="18"/>
        <v>38</v>
      </c>
      <c r="F255" s="4">
        <v>862511684</v>
      </c>
      <c r="G255" s="6" t="s">
        <v>13</v>
      </c>
      <c r="H255" s="6" t="s">
        <v>13</v>
      </c>
      <c r="I255" s="6" t="s">
        <v>13</v>
      </c>
      <c r="J255" s="4"/>
      <c r="K255" s="7">
        <v>120000</v>
      </c>
      <c r="L255" s="8">
        <v>0.02</v>
      </c>
      <c r="M255" s="4" t="s">
        <v>423</v>
      </c>
      <c r="N255" s="5" t="s">
        <v>27</v>
      </c>
      <c r="O255" s="4" t="s">
        <v>23</v>
      </c>
      <c r="P255" s="4" t="s">
        <v>6</v>
      </c>
      <c r="Q255" s="4"/>
    </row>
    <row r="256" spans="1:17" ht="17.25">
      <c r="G256" s="12"/>
      <c r="H256" s="12"/>
      <c r="I256" s="12"/>
      <c r="K256" s="14">
        <f>SUM(K2:K255)</f>
        <v>134610343.5</v>
      </c>
    </row>
    <row r="257" spans="2:9" ht="17.25">
      <c r="G257" s="12"/>
      <c r="H257" s="12"/>
      <c r="I257" s="12"/>
    </row>
    <row r="258" spans="2:9" ht="17.25">
      <c r="B258" s="4" t="s">
        <v>459</v>
      </c>
      <c r="G258" s="12"/>
      <c r="H258" s="12"/>
      <c r="I258" s="12"/>
    </row>
    <row r="259" spans="2:9" ht="17.25">
      <c r="B259" s="4" t="s">
        <v>453</v>
      </c>
      <c r="G259" s="12"/>
      <c r="H259" s="12"/>
      <c r="I259" s="12"/>
    </row>
    <row r="260" spans="2:9" ht="17.25">
      <c r="B260" s="4" t="s">
        <v>454</v>
      </c>
      <c r="G260" s="12"/>
      <c r="H260" s="12"/>
      <c r="I260" s="12"/>
    </row>
    <row r="261" spans="2:9" ht="17.25">
      <c r="B261" s="4" t="s">
        <v>455</v>
      </c>
      <c r="G261" s="12"/>
      <c r="H261" s="12"/>
      <c r="I261" s="12"/>
    </row>
    <row r="262" spans="2:9" ht="17.25">
      <c r="G262" s="12"/>
      <c r="H262" s="12"/>
      <c r="I262" s="12"/>
    </row>
    <row r="263" spans="2:9" ht="17.25">
      <c r="B263" s="4" t="s">
        <v>171</v>
      </c>
      <c r="G263" s="12"/>
      <c r="H263" s="12"/>
      <c r="I263" s="12"/>
    </row>
    <row r="264" spans="2:9" ht="17.25">
      <c r="B264" s="4" t="s">
        <v>456</v>
      </c>
      <c r="G264" s="12"/>
      <c r="H264" s="12"/>
      <c r="I264" s="12"/>
    </row>
    <row r="265" spans="2:9" ht="17.25">
      <c r="B265" s="4" t="s">
        <v>457</v>
      </c>
      <c r="G265" s="12"/>
      <c r="H265" s="12"/>
      <c r="I265" s="12"/>
    </row>
    <row r="266" spans="2:9" ht="17.25">
      <c r="B266" s="4" t="s">
        <v>455</v>
      </c>
      <c r="G266" s="12"/>
      <c r="H266" s="12"/>
      <c r="I266" s="12"/>
    </row>
    <row r="267" spans="2:9" ht="17.25">
      <c r="G267" s="12"/>
      <c r="H267" s="12"/>
      <c r="I267" s="12"/>
    </row>
    <row r="268" spans="2:9" ht="17.25">
      <c r="G268" s="12"/>
      <c r="H268" s="12"/>
      <c r="I268" s="12"/>
    </row>
    <row r="269" spans="2:9" ht="17.25">
      <c r="B269" s="4" t="s">
        <v>1</v>
      </c>
      <c r="G269" s="12"/>
      <c r="H269" s="12"/>
      <c r="I269" s="12"/>
    </row>
    <row r="270" spans="2:9" ht="17.25">
      <c r="B270" s="4" t="s">
        <v>332</v>
      </c>
      <c r="G270" s="12"/>
      <c r="H270" s="12"/>
      <c r="I270" s="12"/>
    </row>
    <row r="271" spans="2:9" ht="17.25">
      <c r="B271" s="4" t="s">
        <v>160</v>
      </c>
      <c r="G271" s="12"/>
      <c r="H271" s="12"/>
      <c r="I271" s="12"/>
    </row>
    <row r="272" spans="2:9" ht="17.25">
      <c r="B272" s="4" t="s">
        <v>335</v>
      </c>
      <c r="G272" s="12"/>
      <c r="H272" s="12"/>
      <c r="I272" s="12"/>
    </row>
    <row r="273" spans="2:9" ht="17.25">
      <c r="B273" s="4" t="s">
        <v>127</v>
      </c>
      <c r="G273" s="12"/>
      <c r="H273" s="12"/>
      <c r="I273" s="12"/>
    </row>
    <row r="274" spans="2:9" ht="17.25">
      <c r="B274" s="4" t="s">
        <v>263</v>
      </c>
      <c r="G274" s="12"/>
      <c r="H274" s="12"/>
      <c r="I274" s="12"/>
    </row>
    <row r="275" spans="2:9" ht="17.25">
      <c r="B275" s="4" t="s">
        <v>241</v>
      </c>
      <c r="G275" s="12"/>
      <c r="H275" s="12"/>
      <c r="I275" s="12"/>
    </row>
    <row r="276" spans="2:9" ht="17.25">
      <c r="B276" s="4" t="s">
        <v>135</v>
      </c>
      <c r="G276" s="12"/>
      <c r="H276" s="12"/>
      <c r="I276" s="12"/>
    </row>
    <row r="277" spans="2:9" ht="17.25">
      <c r="B277" s="4" t="s">
        <v>12</v>
      </c>
      <c r="G277" s="12"/>
      <c r="H277" s="12"/>
      <c r="I277" s="12"/>
    </row>
    <row r="278" spans="2:9" ht="17.25">
      <c r="B278" s="4" t="s">
        <v>455</v>
      </c>
      <c r="G278" s="12"/>
      <c r="H278" s="12"/>
      <c r="I278" s="12"/>
    </row>
    <row r="279" spans="2:9" ht="17.25">
      <c r="G279" s="12"/>
      <c r="H279" s="12"/>
      <c r="I279" s="12"/>
    </row>
    <row r="280" spans="2:9" ht="17.25">
      <c r="G280" s="12"/>
      <c r="H280" s="12"/>
      <c r="I280" s="12"/>
    </row>
    <row r="281" spans="2:9" ht="17.25">
      <c r="G281" s="12"/>
      <c r="H281" s="12"/>
      <c r="I281" s="12"/>
    </row>
    <row r="282" spans="2:9" ht="17.25">
      <c r="G282" s="12"/>
      <c r="H282" s="12"/>
      <c r="I282" s="12"/>
    </row>
    <row r="283" spans="2:9" ht="17.25">
      <c r="G283" s="12"/>
      <c r="H283" s="12"/>
      <c r="I283" s="12"/>
    </row>
    <row r="284" spans="2:9" ht="17.25">
      <c r="G284" s="12"/>
      <c r="H284" s="12"/>
      <c r="I284" s="12"/>
    </row>
    <row r="285" spans="2:9" ht="17.25">
      <c r="G285" s="12"/>
      <c r="H285" s="12"/>
      <c r="I285" s="12"/>
    </row>
    <row r="286" spans="2:9" ht="17.25">
      <c r="G286" s="12"/>
      <c r="H286" s="12"/>
      <c r="I286" s="12"/>
    </row>
    <row r="287" spans="2:9" ht="17.25">
      <c r="G287" s="12"/>
      <c r="H287" s="12"/>
      <c r="I287" s="12"/>
    </row>
    <row r="288" spans="2:9" ht="17.25">
      <c r="G288" s="12"/>
      <c r="H288" s="12"/>
      <c r="I288" s="12"/>
    </row>
    <row r="289" spans="7:9" ht="17.25">
      <c r="G289" s="12"/>
      <c r="H289" s="12"/>
      <c r="I289" s="12"/>
    </row>
    <row r="290" spans="7:9" ht="17.25">
      <c r="G290" s="12"/>
      <c r="H290" s="12"/>
      <c r="I290" s="12"/>
    </row>
    <row r="291" spans="7:9" ht="17.25">
      <c r="G291" s="12"/>
      <c r="H291" s="12"/>
      <c r="I291" s="12"/>
    </row>
    <row r="292" spans="7:9" ht="17.25">
      <c r="G292" s="12"/>
      <c r="H292" s="12"/>
      <c r="I292" s="12"/>
    </row>
    <row r="293" spans="7:9" ht="17.25">
      <c r="G293" s="12"/>
      <c r="H293" s="12"/>
      <c r="I293" s="12"/>
    </row>
    <row r="294" spans="7:9" ht="17.25">
      <c r="G294" s="12"/>
      <c r="H294" s="12"/>
      <c r="I294" s="12"/>
    </row>
    <row r="295" spans="7:9" ht="17.25">
      <c r="G295" s="12"/>
      <c r="H295" s="12"/>
      <c r="I295" s="12"/>
    </row>
    <row r="296" spans="7:9" ht="17.25">
      <c r="G296" s="12"/>
      <c r="H296" s="12"/>
      <c r="I296" s="12"/>
    </row>
    <row r="297" spans="7:9" ht="17.25">
      <c r="G297" s="12"/>
      <c r="H297" s="12"/>
      <c r="I297" s="12"/>
    </row>
    <row r="298" spans="7:9" ht="17.25">
      <c r="G298" s="12"/>
      <c r="H298" s="12"/>
      <c r="I298" s="12"/>
    </row>
    <row r="299" spans="7:9" ht="17.25">
      <c r="G299" s="12"/>
      <c r="H299" s="12"/>
      <c r="I299" s="12"/>
    </row>
    <row r="300" spans="7:9" ht="17.25">
      <c r="G300" s="12"/>
      <c r="H300" s="12"/>
      <c r="I300" s="12"/>
    </row>
    <row r="301" spans="7:9" ht="17.25">
      <c r="G301" s="12"/>
      <c r="H301" s="12"/>
      <c r="I301" s="12"/>
    </row>
    <row r="302" spans="7:9" ht="17.25">
      <c r="G302" s="12"/>
      <c r="H302" s="12"/>
      <c r="I302" s="12"/>
    </row>
    <row r="303" spans="7:9" ht="17.25">
      <c r="G303" s="12"/>
      <c r="H303" s="12"/>
      <c r="I303" s="12"/>
    </row>
    <row r="304" spans="7:9" ht="17.25">
      <c r="G304" s="12"/>
      <c r="H304" s="12"/>
      <c r="I304" s="12"/>
    </row>
    <row r="305" spans="7:9" ht="17.25">
      <c r="G305" s="12"/>
      <c r="H305" s="12"/>
      <c r="I305" s="12"/>
    </row>
    <row r="306" spans="7:9" ht="17.25">
      <c r="G306" s="12"/>
      <c r="H306" s="12"/>
      <c r="I306" s="12"/>
    </row>
    <row r="307" spans="7:9" ht="17.25">
      <c r="G307" s="12"/>
      <c r="H307" s="12"/>
      <c r="I307" s="12"/>
    </row>
    <row r="308" spans="7:9" ht="17.25">
      <c r="G308" s="12"/>
      <c r="H308" s="12"/>
      <c r="I308" s="12"/>
    </row>
    <row r="309" spans="7:9" ht="17.25">
      <c r="G309" s="12"/>
      <c r="H309" s="12"/>
      <c r="I309" s="12"/>
    </row>
    <row r="310" spans="7:9" ht="17.25">
      <c r="G310" s="12"/>
      <c r="H310" s="12"/>
      <c r="I310" s="12"/>
    </row>
    <row r="311" spans="7:9" ht="17.25">
      <c r="G311" s="12"/>
      <c r="H311" s="12"/>
      <c r="I311" s="12"/>
    </row>
    <row r="312" spans="7:9" ht="17.25">
      <c r="G312" s="12"/>
      <c r="H312" s="12"/>
      <c r="I312" s="12"/>
    </row>
    <row r="313" spans="7:9" ht="17.25">
      <c r="G313" s="12"/>
      <c r="H313" s="12"/>
      <c r="I313" s="12"/>
    </row>
    <row r="314" spans="7:9" ht="17.25">
      <c r="G314" s="12"/>
      <c r="H314" s="12"/>
      <c r="I314" s="12"/>
    </row>
    <row r="315" spans="7:9" ht="17.25">
      <c r="G315" s="12"/>
      <c r="H315" s="12"/>
      <c r="I315" s="12"/>
    </row>
    <row r="316" spans="7:9" ht="17.25">
      <c r="G316" s="12"/>
      <c r="H316" s="12"/>
      <c r="I316" s="12"/>
    </row>
    <row r="317" spans="7:9" ht="17.25">
      <c r="G317" s="12"/>
      <c r="H317" s="12"/>
      <c r="I317" s="12"/>
    </row>
    <row r="318" spans="7:9" ht="17.25">
      <c r="G318" s="12"/>
      <c r="H318" s="12"/>
      <c r="I318" s="12"/>
    </row>
    <row r="319" spans="7:9" ht="17.25">
      <c r="G319" s="12"/>
      <c r="H319" s="12"/>
      <c r="I319" s="12"/>
    </row>
    <row r="320" spans="7:9" ht="17.25">
      <c r="G320" s="12"/>
      <c r="H320" s="12"/>
      <c r="I320" s="12"/>
    </row>
    <row r="321" spans="7:9" ht="17.25">
      <c r="G321" s="12"/>
      <c r="H321" s="12"/>
      <c r="I321" s="12"/>
    </row>
    <row r="322" spans="7:9" ht="17.25">
      <c r="G322" s="12"/>
      <c r="H322" s="12"/>
      <c r="I322" s="12"/>
    </row>
    <row r="323" spans="7:9" ht="17.25">
      <c r="G323" s="12"/>
      <c r="H323" s="12"/>
      <c r="I323" s="12"/>
    </row>
    <row r="324" spans="7:9" ht="17.25">
      <c r="G324" s="12"/>
      <c r="H324" s="12"/>
      <c r="I324" s="12"/>
    </row>
    <row r="325" spans="7:9" ht="17.25">
      <c r="G325" s="12"/>
      <c r="H325" s="12"/>
      <c r="I325" s="12"/>
    </row>
  </sheetData>
  <autoFilter ref="A1:Q288">
    <sortState ref="A6:R107">
      <sortCondition descending="1" ref="B1:B288"/>
    </sortState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F23" sqref="F23"/>
    </sheetView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DELL</cp:lastModifiedBy>
  <dcterms:created xsi:type="dcterms:W3CDTF">2025-12-03T06:11:35Z</dcterms:created>
  <dcterms:modified xsi:type="dcterms:W3CDTF">2026-02-18T12:42:33Z</dcterms:modified>
</cp:coreProperties>
</file>