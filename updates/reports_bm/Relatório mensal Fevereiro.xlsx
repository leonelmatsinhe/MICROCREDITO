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640" windowHeight="11760"/>
  </bookViews>
  <sheets>
    <sheet name="Relatório Fevereiro de 2025" sheetId="1" r:id="rId1"/>
  </sheets>
  <calcPr calcId="124519" iterate="1" iterateCount="32767" iterateDelta="0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2" i="1"/>
  <c r="F41"/>
  <c r="D41"/>
  <c r="F32"/>
  <c r="F33"/>
  <c r="J33" s="1"/>
  <c r="F36"/>
  <c r="J36" s="1"/>
  <c r="F39"/>
  <c r="J39" s="1"/>
  <c r="F38"/>
  <c r="J38" s="1"/>
  <c r="F37"/>
  <c r="J37" s="1"/>
  <c r="F35"/>
  <c r="J35" s="1"/>
  <c r="F34"/>
  <c r="J34" s="1"/>
</calcChain>
</file>

<file path=xl/sharedStrings.xml><?xml version="1.0" encoding="utf-8"?>
<sst xmlns="http://schemas.openxmlformats.org/spreadsheetml/2006/main" count="81" uniqueCount="66">
  <si>
    <t>BANCO DE MOÇAMBIQUE</t>
  </si>
  <si>
    <t>DEPARTAMENTO DE SUPERVISÃO PRUDENCIAL</t>
  </si>
  <si>
    <t>REPORTE PERIÓDICO DE INFORMAÇÕES DE MICROFINANÇAS</t>
  </si>
  <si>
    <t>INSTITUIÇÕES SUJEITAS À MONITORIZAÇÃO</t>
  </si>
  <si>
    <t xml:space="preserve">PERÍODO DE REPORTE: </t>
  </si>
  <si>
    <t>1. IDENTIFICAÇÃO DA INSTITUIÇÃO</t>
  </si>
  <si>
    <t>Telemóvel:__________</t>
  </si>
  <si>
    <t>(Valores em Meticais)</t>
  </si>
  <si>
    <t>Nº da Operação (1)</t>
  </si>
  <si>
    <t>Nome do Cliente (2)</t>
  </si>
  <si>
    <t>Data de Desembolso (3)</t>
  </si>
  <si>
    <t>Montante do Desembolso (4)</t>
  </si>
  <si>
    <t>Finalidade do Crédito (5)</t>
  </si>
  <si>
    <t>Valor da Prestação (6)</t>
  </si>
  <si>
    <t>Periodicidade dos Pagamentos (7)</t>
  </si>
  <si>
    <t>Prazo de Reembolso (8)</t>
  </si>
  <si>
    <t>Taxa de Juro (9)</t>
  </si>
  <si>
    <t>Crédito em Dívida (10)</t>
  </si>
  <si>
    <t>Crédito em Em Atraso (11)</t>
  </si>
  <si>
    <t>Dias em Atraso (12)</t>
  </si>
  <si>
    <t>PPEs (13)</t>
  </si>
  <si>
    <t>Notas Explicativas</t>
  </si>
  <si>
    <t>1- Numero da operação de crédito</t>
  </si>
  <si>
    <t>2- Nome do cliente</t>
  </si>
  <si>
    <t>3- Data do desembolso inicial</t>
  </si>
  <si>
    <t xml:space="preserve">4- Valor do crédito concedido </t>
  </si>
  <si>
    <t>5- Finalidade de credito desembolsado, designadamente para empresas, consumo ou habitação.</t>
  </si>
  <si>
    <t>6- Montante da prestação periódica para amortizar o crédito</t>
  </si>
  <si>
    <t>7- Forma de pagamento, acordada, desigadamente diária, semanal, mensal ou anual.</t>
  </si>
  <si>
    <t xml:space="preserve">8- Data de vencimento do crédito desembolsado </t>
  </si>
  <si>
    <t>9- Percentagem da taxa Juro plicada a crédito</t>
  </si>
  <si>
    <t>10- Montante do crédito desembolsado que falta pagar, excluindo prestações em atraso.</t>
  </si>
  <si>
    <t>11- Montante das prestações em atraso incluindo capital e juros.</t>
  </si>
  <si>
    <t>12- Dias em atraso do pagamento das prestações.</t>
  </si>
  <si>
    <t>13 - Credito concedido  pessoas politicamente expostas</t>
  </si>
  <si>
    <t xml:space="preserve">comercio </t>
  </si>
  <si>
    <t>mensal</t>
  </si>
  <si>
    <t>Total</t>
  </si>
  <si>
    <t>Instituição(ões) Representada(s): N/A</t>
  </si>
  <si>
    <t>01.02.2025-28.02.2025</t>
  </si>
  <si>
    <t>Denominação: Nthuso Microcredito, EI</t>
  </si>
  <si>
    <t>Endereço : Bairro de Jardim - Avenida de Moçambique 2019, 1º Andar.</t>
  </si>
  <si>
    <t>Provincia: Maputo Cidade</t>
  </si>
  <si>
    <t>Telefone: 843030222/872698833</t>
  </si>
  <si>
    <t xml:space="preserve">Fax:_____________________________________________________________________ E-mail: iselsocumbi@gmail.com </t>
  </si>
  <si>
    <t>Data de Início das Actividades: 08/08/2023</t>
  </si>
  <si>
    <t>Nº de Trabalhadores: 03 (Três)</t>
  </si>
  <si>
    <t>Nome do Responsável pela Gestão da Instituição: Iselso Orlando Cumbi</t>
  </si>
  <si>
    <t>13/3/2025</t>
  </si>
  <si>
    <t>Alice André Sambo</t>
  </si>
  <si>
    <t>Marta Nuvunga</t>
  </si>
  <si>
    <t>Nelson Américo Macia</t>
  </si>
  <si>
    <t>Anita Joaquim Saíde</t>
  </si>
  <si>
    <t>13/2/2025</t>
  </si>
  <si>
    <t>Nora Macauzane Macie Tchamo</t>
  </si>
  <si>
    <t>28/2/2025</t>
  </si>
  <si>
    <t>Salva António</t>
  </si>
  <si>
    <t>24/2/2025</t>
  </si>
  <si>
    <t>Nataniel Manjate</t>
  </si>
  <si>
    <t>28/02/2025</t>
  </si>
  <si>
    <t>28/3/2025</t>
  </si>
  <si>
    <t>24/3/2025</t>
  </si>
  <si>
    <t>28/03/2025</t>
  </si>
  <si>
    <t>13-03-2025</t>
  </si>
  <si>
    <t>Zaina Atija</t>
  </si>
  <si>
    <t>Pessoas politicamente expostas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</si>
</sst>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justify" vertical="center" wrapText="1"/>
    </xf>
    <xf numFmtId="0" fontId="4" fillId="3" borderId="6" xfId="0" applyFont="1" applyFill="1" applyBorder="1" applyAlignment="1">
      <alignment horizontal="justify" vertical="center" wrapText="1"/>
    </xf>
    <xf numFmtId="0" fontId="5" fillId="2" borderId="5" xfId="0" applyFont="1" applyFill="1" applyBorder="1" applyAlignment="1">
      <alignment horizontal="justify" vertical="center" wrapText="1"/>
    </xf>
    <xf numFmtId="0" fontId="5" fillId="2" borderId="6" xfId="0" applyFont="1" applyFill="1" applyBorder="1" applyAlignment="1">
      <alignment horizontal="justify" vertical="center" wrapText="1"/>
    </xf>
    <xf numFmtId="0" fontId="5" fillId="2" borderId="0" xfId="0" applyFont="1" applyFill="1" applyBorder="1" applyAlignment="1">
      <alignment horizontal="justify" vertical="center" wrapText="1"/>
    </xf>
    <xf numFmtId="0" fontId="1" fillId="2" borderId="0" xfId="0" applyFont="1" applyFill="1"/>
    <xf numFmtId="0" fontId="6" fillId="2" borderId="0" xfId="1" applyFill="1" applyAlignment="1">
      <alignment vertical="center" wrapText="1"/>
    </xf>
    <xf numFmtId="9" fontId="5" fillId="2" borderId="6" xfId="0" applyNumberFormat="1" applyFont="1" applyFill="1" applyBorder="1" applyAlignment="1">
      <alignment horizontal="justify" vertical="center" wrapText="1"/>
    </xf>
    <xf numFmtId="0" fontId="5" fillId="4" borderId="6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14" fontId="5" fillId="2" borderId="6" xfId="0" applyNumberFormat="1" applyFont="1" applyFill="1" applyBorder="1" applyAlignment="1">
      <alignment horizontal="justify" vertical="center" wrapText="1"/>
    </xf>
    <xf numFmtId="0" fontId="7" fillId="0" borderId="0" xfId="0" applyFont="1"/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4" fillId="3" borderId="1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4" fillId="3" borderId="5" xfId="0" applyFont="1" applyFill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5</xdr:row>
      <xdr:rowOff>42890</xdr:rowOff>
    </xdr:from>
    <xdr:to>
      <xdr:col>0</xdr:col>
      <xdr:colOff>962025</xdr:colOff>
      <xdr:row>8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1" y="1033490"/>
          <a:ext cx="866774" cy="576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63"/>
  <sheetViews>
    <sheetView tabSelected="1" topLeftCell="A25" workbookViewId="0">
      <selection activeCell="M29" sqref="M29:M31"/>
    </sheetView>
  </sheetViews>
  <sheetFormatPr defaultColWidth="8.7109375" defaultRowHeight="15"/>
  <cols>
    <col min="1" max="1" width="18.42578125" style="2" customWidth="1"/>
    <col min="2" max="2" width="29.42578125" style="2" customWidth="1"/>
    <col min="3" max="3" width="22.85546875" style="2" customWidth="1"/>
    <col min="4" max="4" width="27.42578125" style="2" customWidth="1"/>
    <col min="5" max="5" width="24" style="2" bestFit="1" customWidth="1"/>
    <col min="6" max="6" width="21.85546875" style="2" bestFit="1" customWidth="1"/>
    <col min="7" max="7" width="20.85546875" style="2" bestFit="1" customWidth="1"/>
    <col min="8" max="8" width="26.85546875" style="2" bestFit="1" customWidth="1"/>
    <col min="9" max="9" width="11.7109375" style="2" customWidth="1"/>
    <col min="10" max="10" width="14.85546875" style="2" bestFit="1" customWidth="1"/>
    <col min="11" max="11" width="13.7109375" style="2" bestFit="1" customWidth="1"/>
    <col min="12" max="12" width="14.85546875" style="2" bestFit="1" customWidth="1"/>
    <col min="13" max="13" width="18" style="2" bestFit="1" customWidth="1"/>
    <col min="14" max="256" width="8.7109375" style="2"/>
    <col min="257" max="257" width="18.42578125" style="2" customWidth="1"/>
    <col min="258" max="258" width="29.42578125" style="2" customWidth="1"/>
    <col min="259" max="259" width="22.85546875" style="2" customWidth="1"/>
    <col min="260" max="260" width="27.42578125" style="2" customWidth="1"/>
    <col min="261" max="261" width="24" style="2" bestFit="1" customWidth="1"/>
    <col min="262" max="262" width="21.85546875" style="2" bestFit="1" customWidth="1"/>
    <col min="263" max="263" width="20.85546875" style="2" bestFit="1" customWidth="1"/>
    <col min="264" max="264" width="26.85546875" style="2" bestFit="1" customWidth="1"/>
    <col min="265" max="265" width="11.7109375" style="2" customWidth="1"/>
    <col min="266" max="266" width="14.85546875" style="2" bestFit="1" customWidth="1"/>
    <col min="267" max="267" width="13.7109375" style="2" bestFit="1" customWidth="1"/>
    <col min="268" max="268" width="14.85546875" style="2" bestFit="1" customWidth="1"/>
    <col min="269" max="269" width="18" style="2" bestFit="1" customWidth="1"/>
    <col min="270" max="512" width="8.7109375" style="2"/>
    <col min="513" max="513" width="18.42578125" style="2" customWidth="1"/>
    <col min="514" max="514" width="29.42578125" style="2" customWidth="1"/>
    <col min="515" max="515" width="22.85546875" style="2" customWidth="1"/>
    <col min="516" max="516" width="27.42578125" style="2" customWidth="1"/>
    <col min="517" max="517" width="24" style="2" bestFit="1" customWidth="1"/>
    <col min="518" max="518" width="21.85546875" style="2" bestFit="1" customWidth="1"/>
    <col min="519" max="519" width="20.85546875" style="2" bestFit="1" customWidth="1"/>
    <col min="520" max="520" width="26.85546875" style="2" bestFit="1" customWidth="1"/>
    <col min="521" max="521" width="11.7109375" style="2" customWidth="1"/>
    <col min="522" max="522" width="14.85546875" style="2" bestFit="1" customWidth="1"/>
    <col min="523" max="523" width="13.7109375" style="2" bestFit="1" customWidth="1"/>
    <col min="524" max="524" width="14.85546875" style="2" bestFit="1" customWidth="1"/>
    <col min="525" max="525" width="18" style="2" bestFit="1" customWidth="1"/>
    <col min="526" max="768" width="8.7109375" style="2"/>
    <col min="769" max="769" width="18.42578125" style="2" customWidth="1"/>
    <col min="770" max="770" width="29.42578125" style="2" customWidth="1"/>
    <col min="771" max="771" width="22.85546875" style="2" customWidth="1"/>
    <col min="772" max="772" width="27.42578125" style="2" customWidth="1"/>
    <col min="773" max="773" width="24" style="2" bestFit="1" customWidth="1"/>
    <col min="774" max="774" width="21.85546875" style="2" bestFit="1" customWidth="1"/>
    <col min="775" max="775" width="20.85546875" style="2" bestFit="1" customWidth="1"/>
    <col min="776" max="776" width="26.85546875" style="2" bestFit="1" customWidth="1"/>
    <col min="777" max="777" width="11.7109375" style="2" customWidth="1"/>
    <col min="778" max="778" width="14.85546875" style="2" bestFit="1" customWidth="1"/>
    <col min="779" max="779" width="13.7109375" style="2" bestFit="1" customWidth="1"/>
    <col min="780" max="780" width="14.85546875" style="2" bestFit="1" customWidth="1"/>
    <col min="781" max="781" width="18" style="2" bestFit="1" customWidth="1"/>
    <col min="782" max="1024" width="8.7109375" style="2"/>
    <col min="1025" max="1025" width="18.42578125" style="2" customWidth="1"/>
    <col min="1026" max="1026" width="29.42578125" style="2" customWidth="1"/>
    <col min="1027" max="1027" width="22.85546875" style="2" customWidth="1"/>
    <col min="1028" max="1028" width="27.42578125" style="2" customWidth="1"/>
    <col min="1029" max="1029" width="24" style="2" bestFit="1" customWidth="1"/>
    <col min="1030" max="1030" width="21.85546875" style="2" bestFit="1" customWidth="1"/>
    <col min="1031" max="1031" width="20.85546875" style="2" bestFit="1" customWidth="1"/>
    <col min="1032" max="1032" width="26.85546875" style="2" bestFit="1" customWidth="1"/>
    <col min="1033" max="1033" width="11.7109375" style="2" customWidth="1"/>
    <col min="1034" max="1034" width="14.85546875" style="2" bestFit="1" customWidth="1"/>
    <col min="1035" max="1035" width="13.7109375" style="2" bestFit="1" customWidth="1"/>
    <col min="1036" max="1036" width="14.85546875" style="2" bestFit="1" customWidth="1"/>
    <col min="1037" max="1037" width="18" style="2" bestFit="1" customWidth="1"/>
    <col min="1038" max="1280" width="8.7109375" style="2"/>
    <col min="1281" max="1281" width="18.42578125" style="2" customWidth="1"/>
    <col min="1282" max="1282" width="29.42578125" style="2" customWidth="1"/>
    <col min="1283" max="1283" width="22.85546875" style="2" customWidth="1"/>
    <col min="1284" max="1284" width="27.42578125" style="2" customWidth="1"/>
    <col min="1285" max="1285" width="24" style="2" bestFit="1" customWidth="1"/>
    <col min="1286" max="1286" width="21.85546875" style="2" bestFit="1" customWidth="1"/>
    <col min="1287" max="1287" width="20.85546875" style="2" bestFit="1" customWidth="1"/>
    <col min="1288" max="1288" width="26.85546875" style="2" bestFit="1" customWidth="1"/>
    <col min="1289" max="1289" width="11.7109375" style="2" customWidth="1"/>
    <col min="1290" max="1290" width="14.85546875" style="2" bestFit="1" customWidth="1"/>
    <col min="1291" max="1291" width="13.7109375" style="2" bestFit="1" customWidth="1"/>
    <col min="1292" max="1292" width="14.85546875" style="2" bestFit="1" customWidth="1"/>
    <col min="1293" max="1293" width="18" style="2" bestFit="1" customWidth="1"/>
    <col min="1294" max="1536" width="8.7109375" style="2"/>
    <col min="1537" max="1537" width="18.42578125" style="2" customWidth="1"/>
    <col min="1538" max="1538" width="29.42578125" style="2" customWidth="1"/>
    <col min="1539" max="1539" width="22.85546875" style="2" customWidth="1"/>
    <col min="1540" max="1540" width="27.42578125" style="2" customWidth="1"/>
    <col min="1541" max="1541" width="24" style="2" bestFit="1" customWidth="1"/>
    <col min="1542" max="1542" width="21.85546875" style="2" bestFit="1" customWidth="1"/>
    <col min="1543" max="1543" width="20.85546875" style="2" bestFit="1" customWidth="1"/>
    <col min="1544" max="1544" width="26.85546875" style="2" bestFit="1" customWidth="1"/>
    <col min="1545" max="1545" width="11.7109375" style="2" customWidth="1"/>
    <col min="1546" max="1546" width="14.85546875" style="2" bestFit="1" customWidth="1"/>
    <col min="1547" max="1547" width="13.7109375" style="2" bestFit="1" customWidth="1"/>
    <col min="1548" max="1548" width="14.85546875" style="2" bestFit="1" customWidth="1"/>
    <col min="1549" max="1549" width="18" style="2" bestFit="1" customWidth="1"/>
    <col min="1550" max="1792" width="8.7109375" style="2"/>
    <col min="1793" max="1793" width="18.42578125" style="2" customWidth="1"/>
    <col min="1794" max="1794" width="29.42578125" style="2" customWidth="1"/>
    <col min="1795" max="1795" width="22.85546875" style="2" customWidth="1"/>
    <col min="1796" max="1796" width="27.42578125" style="2" customWidth="1"/>
    <col min="1797" max="1797" width="24" style="2" bestFit="1" customWidth="1"/>
    <col min="1798" max="1798" width="21.85546875" style="2" bestFit="1" customWidth="1"/>
    <col min="1799" max="1799" width="20.85546875" style="2" bestFit="1" customWidth="1"/>
    <col min="1800" max="1800" width="26.85546875" style="2" bestFit="1" customWidth="1"/>
    <col min="1801" max="1801" width="11.7109375" style="2" customWidth="1"/>
    <col min="1802" max="1802" width="14.85546875" style="2" bestFit="1" customWidth="1"/>
    <col min="1803" max="1803" width="13.7109375" style="2" bestFit="1" customWidth="1"/>
    <col min="1804" max="1804" width="14.85546875" style="2" bestFit="1" customWidth="1"/>
    <col min="1805" max="1805" width="18" style="2" bestFit="1" customWidth="1"/>
    <col min="1806" max="2048" width="8.7109375" style="2"/>
    <col min="2049" max="2049" width="18.42578125" style="2" customWidth="1"/>
    <col min="2050" max="2050" width="29.42578125" style="2" customWidth="1"/>
    <col min="2051" max="2051" width="22.85546875" style="2" customWidth="1"/>
    <col min="2052" max="2052" width="27.42578125" style="2" customWidth="1"/>
    <col min="2053" max="2053" width="24" style="2" bestFit="1" customWidth="1"/>
    <col min="2054" max="2054" width="21.85546875" style="2" bestFit="1" customWidth="1"/>
    <col min="2055" max="2055" width="20.85546875" style="2" bestFit="1" customWidth="1"/>
    <col min="2056" max="2056" width="26.85546875" style="2" bestFit="1" customWidth="1"/>
    <col min="2057" max="2057" width="11.7109375" style="2" customWidth="1"/>
    <col min="2058" max="2058" width="14.85546875" style="2" bestFit="1" customWidth="1"/>
    <col min="2059" max="2059" width="13.7109375" style="2" bestFit="1" customWidth="1"/>
    <col min="2060" max="2060" width="14.85546875" style="2" bestFit="1" customWidth="1"/>
    <col min="2061" max="2061" width="18" style="2" bestFit="1" customWidth="1"/>
    <col min="2062" max="2304" width="8.7109375" style="2"/>
    <col min="2305" max="2305" width="18.42578125" style="2" customWidth="1"/>
    <col min="2306" max="2306" width="29.42578125" style="2" customWidth="1"/>
    <col min="2307" max="2307" width="22.85546875" style="2" customWidth="1"/>
    <col min="2308" max="2308" width="27.42578125" style="2" customWidth="1"/>
    <col min="2309" max="2309" width="24" style="2" bestFit="1" customWidth="1"/>
    <col min="2310" max="2310" width="21.85546875" style="2" bestFit="1" customWidth="1"/>
    <col min="2311" max="2311" width="20.85546875" style="2" bestFit="1" customWidth="1"/>
    <col min="2312" max="2312" width="26.85546875" style="2" bestFit="1" customWidth="1"/>
    <col min="2313" max="2313" width="11.7109375" style="2" customWidth="1"/>
    <col min="2314" max="2314" width="14.85546875" style="2" bestFit="1" customWidth="1"/>
    <col min="2315" max="2315" width="13.7109375" style="2" bestFit="1" customWidth="1"/>
    <col min="2316" max="2316" width="14.85546875" style="2" bestFit="1" customWidth="1"/>
    <col min="2317" max="2317" width="18" style="2" bestFit="1" customWidth="1"/>
    <col min="2318" max="2560" width="8.7109375" style="2"/>
    <col min="2561" max="2561" width="18.42578125" style="2" customWidth="1"/>
    <col min="2562" max="2562" width="29.42578125" style="2" customWidth="1"/>
    <col min="2563" max="2563" width="22.85546875" style="2" customWidth="1"/>
    <col min="2564" max="2564" width="27.42578125" style="2" customWidth="1"/>
    <col min="2565" max="2565" width="24" style="2" bestFit="1" customWidth="1"/>
    <col min="2566" max="2566" width="21.85546875" style="2" bestFit="1" customWidth="1"/>
    <col min="2567" max="2567" width="20.85546875" style="2" bestFit="1" customWidth="1"/>
    <col min="2568" max="2568" width="26.85546875" style="2" bestFit="1" customWidth="1"/>
    <col min="2569" max="2569" width="11.7109375" style="2" customWidth="1"/>
    <col min="2570" max="2570" width="14.85546875" style="2" bestFit="1" customWidth="1"/>
    <col min="2571" max="2571" width="13.7109375" style="2" bestFit="1" customWidth="1"/>
    <col min="2572" max="2572" width="14.85546875" style="2" bestFit="1" customWidth="1"/>
    <col min="2573" max="2573" width="18" style="2" bestFit="1" customWidth="1"/>
    <col min="2574" max="2816" width="8.7109375" style="2"/>
    <col min="2817" max="2817" width="18.42578125" style="2" customWidth="1"/>
    <col min="2818" max="2818" width="29.42578125" style="2" customWidth="1"/>
    <col min="2819" max="2819" width="22.85546875" style="2" customWidth="1"/>
    <col min="2820" max="2820" width="27.42578125" style="2" customWidth="1"/>
    <col min="2821" max="2821" width="24" style="2" bestFit="1" customWidth="1"/>
    <col min="2822" max="2822" width="21.85546875" style="2" bestFit="1" customWidth="1"/>
    <col min="2823" max="2823" width="20.85546875" style="2" bestFit="1" customWidth="1"/>
    <col min="2824" max="2824" width="26.85546875" style="2" bestFit="1" customWidth="1"/>
    <col min="2825" max="2825" width="11.7109375" style="2" customWidth="1"/>
    <col min="2826" max="2826" width="14.85546875" style="2" bestFit="1" customWidth="1"/>
    <col min="2827" max="2827" width="13.7109375" style="2" bestFit="1" customWidth="1"/>
    <col min="2828" max="2828" width="14.85546875" style="2" bestFit="1" customWidth="1"/>
    <col min="2829" max="2829" width="18" style="2" bestFit="1" customWidth="1"/>
    <col min="2830" max="3072" width="8.7109375" style="2"/>
    <col min="3073" max="3073" width="18.42578125" style="2" customWidth="1"/>
    <col min="3074" max="3074" width="29.42578125" style="2" customWidth="1"/>
    <col min="3075" max="3075" width="22.85546875" style="2" customWidth="1"/>
    <col min="3076" max="3076" width="27.42578125" style="2" customWidth="1"/>
    <col min="3077" max="3077" width="24" style="2" bestFit="1" customWidth="1"/>
    <col min="3078" max="3078" width="21.85546875" style="2" bestFit="1" customWidth="1"/>
    <col min="3079" max="3079" width="20.85546875" style="2" bestFit="1" customWidth="1"/>
    <col min="3080" max="3080" width="26.85546875" style="2" bestFit="1" customWidth="1"/>
    <col min="3081" max="3081" width="11.7109375" style="2" customWidth="1"/>
    <col min="3082" max="3082" width="14.85546875" style="2" bestFit="1" customWidth="1"/>
    <col min="3083" max="3083" width="13.7109375" style="2" bestFit="1" customWidth="1"/>
    <col min="3084" max="3084" width="14.85546875" style="2" bestFit="1" customWidth="1"/>
    <col min="3085" max="3085" width="18" style="2" bestFit="1" customWidth="1"/>
    <col min="3086" max="3328" width="8.7109375" style="2"/>
    <col min="3329" max="3329" width="18.42578125" style="2" customWidth="1"/>
    <col min="3330" max="3330" width="29.42578125" style="2" customWidth="1"/>
    <col min="3331" max="3331" width="22.85546875" style="2" customWidth="1"/>
    <col min="3332" max="3332" width="27.42578125" style="2" customWidth="1"/>
    <col min="3333" max="3333" width="24" style="2" bestFit="1" customWidth="1"/>
    <col min="3334" max="3334" width="21.85546875" style="2" bestFit="1" customWidth="1"/>
    <col min="3335" max="3335" width="20.85546875" style="2" bestFit="1" customWidth="1"/>
    <col min="3336" max="3336" width="26.85546875" style="2" bestFit="1" customWidth="1"/>
    <col min="3337" max="3337" width="11.7109375" style="2" customWidth="1"/>
    <col min="3338" max="3338" width="14.85546875" style="2" bestFit="1" customWidth="1"/>
    <col min="3339" max="3339" width="13.7109375" style="2" bestFit="1" customWidth="1"/>
    <col min="3340" max="3340" width="14.85546875" style="2" bestFit="1" customWidth="1"/>
    <col min="3341" max="3341" width="18" style="2" bestFit="1" customWidth="1"/>
    <col min="3342" max="3584" width="8.7109375" style="2"/>
    <col min="3585" max="3585" width="18.42578125" style="2" customWidth="1"/>
    <col min="3586" max="3586" width="29.42578125" style="2" customWidth="1"/>
    <col min="3587" max="3587" width="22.85546875" style="2" customWidth="1"/>
    <col min="3588" max="3588" width="27.42578125" style="2" customWidth="1"/>
    <col min="3589" max="3589" width="24" style="2" bestFit="1" customWidth="1"/>
    <col min="3590" max="3590" width="21.85546875" style="2" bestFit="1" customWidth="1"/>
    <col min="3591" max="3591" width="20.85546875" style="2" bestFit="1" customWidth="1"/>
    <col min="3592" max="3592" width="26.85546875" style="2" bestFit="1" customWidth="1"/>
    <col min="3593" max="3593" width="11.7109375" style="2" customWidth="1"/>
    <col min="3594" max="3594" width="14.85546875" style="2" bestFit="1" customWidth="1"/>
    <col min="3595" max="3595" width="13.7109375" style="2" bestFit="1" customWidth="1"/>
    <col min="3596" max="3596" width="14.85546875" style="2" bestFit="1" customWidth="1"/>
    <col min="3597" max="3597" width="18" style="2" bestFit="1" customWidth="1"/>
    <col min="3598" max="3840" width="8.7109375" style="2"/>
    <col min="3841" max="3841" width="18.42578125" style="2" customWidth="1"/>
    <col min="3842" max="3842" width="29.42578125" style="2" customWidth="1"/>
    <col min="3843" max="3843" width="22.85546875" style="2" customWidth="1"/>
    <col min="3844" max="3844" width="27.42578125" style="2" customWidth="1"/>
    <col min="3845" max="3845" width="24" style="2" bestFit="1" customWidth="1"/>
    <col min="3846" max="3846" width="21.85546875" style="2" bestFit="1" customWidth="1"/>
    <col min="3847" max="3847" width="20.85546875" style="2" bestFit="1" customWidth="1"/>
    <col min="3848" max="3848" width="26.85546875" style="2" bestFit="1" customWidth="1"/>
    <col min="3849" max="3849" width="11.7109375" style="2" customWidth="1"/>
    <col min="3850" max="3850" width="14.85546875" style="2" bestFit="1" customWidth="1"/>
    <col min="3851" max="3851" width="13.7109375" style="2" bestFit="1" customWidth="1"/>
    <col min="3852" max="3852" width="14.85546875" style="2" bestFit="1" customWidth="1"/>
    <col min="3853" max="3853" width="18" style="2" bestFit="1" customWidth="1"/>
    <col min="3854" max="4096" width="8.7109375" style="2"/>
    <col min="4097" max="4097" width="18.42578125" style="2" customWidth="1"/>
    <col min="4098" max="4098" width="29.42578125" style="2" customWidth="1"/>
    <col min="4099" max="4099" width="22.85546875" style="2" customWidth="1"/>
    <col min="4100" max="4100" width="27.42578125" style="2" customWidth="1"/>
    <col min="4101" max="4101" width="24" style="2" bestFit="1" customWidth="1"/>
    <col min="4102" max="4102" width="21.85546875" style="2" bestFit="1" customWidth="1"/>
    <col min="4103" max="4103" width="20.85546875" style="2" bestFit="1" customWidth="1"/>
    <col min="4104" max="4104" width="26.85546875" style="2" bestFit="1" customWidth="1"/>
    <col min="4105" max="4105" width="11.7109375" style="2" customWidth="1"/>
    <col min="4106" max="4106" width="14.85546875" style="2" bestFit="1" customWidth="1"/>
    <col min="4107" max="4107" width="13.7109375" style="2" bestFit="1" customWidth="1"/>
    <col min="4108" max="4108" width="14.85546875" style="2" bestFit="1" customWidth="1"/>
    <col min="4109" max="4109" width="18" style="2" bestFit="1" customWidth="1"/>
    <col min="4110" max="4352" width="8.7109375" style="2"/>
    <col min="4353" max="4353" width="18.42578125" style="2" customWidth="1"/>
    <col min="4354" max="4354" width="29.42578125" style="2" customWidth="1"/>
    <col min="4355" max="4355" width="22.85546875" style="2" customWidth="1"/>
    <col min="4356" max="4356" width="27.42578125" style="2" customWidth="1"/>
    <col min="4357" max="4357" width="24" style="2" bestFit="1" customWidth="1"/>
    <col min="4358" max="4358" width="21.85546875" style="2" bestFit="1" customWidth="1"/>
    <col min="4359" max="4359" width="20.85546875" style="2" bestFit="1" customWidth="1"/>
    <col min="4360" max="4360" width="26.85546875" style="2" bestFit="1" customWidth="1"/>
    <col min="4361" max="4361" width="11.7109375" style="2" customWidth="1"/>
    <col min="4362" max="4362" width="14.85546875" style="2" bestFit="1" customWidth="1"/>
    <col min="4363" max="4363" width="13.7109375" style="2" bestFit="1" customWidth="1"/>
    <col min="4364" max="4364" width="14.85546875" style="2" bestFit="1" customWidth="1"/>
    <col min="4365" max="4365" width="18" style="2" bestFit="1" customWidth="1"/>
    <col min="4366" max="4608" width="8.7109375" style="2"/>
    <col min="4609" max="4609" width="18.42578125" style="2" customWidth="1"/>
    <col min="4610" max="4610" width="29.42578125" style="2" customWidth="1"/>
    <col min="4611" max="4611" width="22.85546875" style="2" customWidth="1"/>
    <col min="4612" max="4612" width="27.42578125" style="2" customWidth="1"/>
    <col min="4613" max="4613" width="24" style="2" bestFit="1" customWidth="1"/>
    <col min="4614" max="4614" width="21.85546875" style="2" bestFit="1" customWidth="1"/>
    <col min="4615" max="4615" width="20.85546875" style="2" bestFit="1" customWidth="1"/>
    <col min="4616" max="4616" width="26.85546875" style="2" bestFit="1" customWidth="1"/>
    <col min="4617" max="4617" width="11.7109375" style="2" customWidth="1"/>
    <col min="4618" max="4618" width="14.85546875" style="2" bestFit="1" customWidth="1"/>
    <col min="4619" max="4619" width="13.7109375" style="2" bestFit="1" customWidth="1"/>
    <col min="4620" max="4620" width="14.85546875" style="2" bestFit="1" customWidth="1"/>
    <col min="4621" max="4621" width="18" style="2" bestFit="1" customWidth="1"/>
    <col min="4622" max="4864" width="8.7109375" style="2"/>
    <col min="4865" max="4865" width="18.42578125" style="2" customWidth="1"/>
    <col min="4866" max="4866" width="29.42578125" style="2" customWidth="1"/>
    <col min="4867" max="4867" width="22.85546875" style="2" customWidth="1"/>
    <col min="4868" max="4868" width="27.42578125" style="2" customWidth="1"/>
    <col min="4869" max="4869" width="24" style="2" bestFit="1" customWidth="1"/>
    <col min="4870" max="4870" width="21.85546875" style="2" bestFit="1" customWidth="1"/>
    <col min="4871" max="4871" width="20.85546875" style="2" bestFit="1" customWidth="1"/>
    <col min="4872" max="4872" width="26.85546875" style="2" bestFit="1" customWidth="1"/>
    <col min="4873" max="4873" width="11.7109375" style="2" customWidth="1"/>
    <col min="4874" max="4874" width="14.85546875" style="2" bestFit="1" customWidth="1"/>
    <col min="4875" max="4875" width="13.7109375" style="2" bestFit="1" customWidth="1"/>
    <col min="4876" max="4876" width="14.85546875" style="2" bestFit="1" customWidth="1"/>
    <col min="4877" max="4877" width="18" style="2" bestFit="1" customWidth="1"/>
    <col min="4878" max="5120" width="8.7109375" style="2"/>
    <col min="5121" max="5121" width="18.42578125" style="2" customWidth="1"/>
    <col min="5122" max="5122" width="29.42578125" style="2" customWidth="1"/>
    <col min="5123" max="5123" width="22.85546875" style="2" customWidth="1"/>
    <col min="5124" max="5124" width="27.42578125" style="2" customWidth="1"/>
    <col min="5125" max="5125" width="24" style="2" bestFit="1" customWidth="1"/>
    <col min="5126" max="5126" width="21.85546875" style="2" bestFit="1" customWidth="1"/>
    <col min="5127" max="5127" width="20.85546875" style="2" bestFit="1" customWidth="1"/>
    <col min="5128" max="5128" width="26.85546875" style="2" bestFit="1" customWidth="1"/>
    <col min="5129" max="5129" width="11.7109375" style="2" customWidth="1"/>
    <col min="5130" max="5130" width="14.85546875" style="2" bestFit="1" customWidth="1"/>
    <col min="5131" max="5131" width="13.7109375" style="2" bestFit="1" customWidth="1"/>
    <col min="5132" max="5132" width="14.85546875" style="2" bestFit="1" customWidth="1"/>
    <col min="5133" max="5133" width="18" style="2" bestFit="1" customWidth="1"/>
    <col min="5134" max="5376" width="8.7109375" style="2"/>
    <col min="5377" max="5377" width="18.42578125" style="2" customWidth="1"/>
    <col min="5378" max="5378" width="29.42578125" style="2" customWidth="1"/>
    <col min="5379" max="5379" width="22.85546875" style="2" customWidth="1"/>
    <col min="5380" max="5380" width="27.42578125" style="2" customWidth="1"/>
    <col min="5381" max="5381" width="24" style="2" bestFit="1" customWidth="1"/>
    <col min="5382" max="5382" width="21.85546875" style="2" bestFit="1" customWidth="1"/>
    <col min="5383" max="5383" width="20.85546875" style="2" bestFit="1" customWidth="1"/>
    <col min="5384" max="5384" width="26.85546875" style="2" bestFit="1" customWidth="1"/>
    <col min="5385" max="5385" width="11.7109375" style="2" customWidth="1"/>
    <col min="5386" max="5386" width="14.85546875" style="2" bestFit="1" customWidth="1"/>
    <col min="5387" max="5387" width="13.7109375" style="2" bestFit="1" customWidth="1"/>
    <col min="5388" max="5388" width="14.85546875" style="2" bestFit="1" customWidth="1"/>
    <col min="5389" max="5389" width="18" style="2" bestFit="1" customWidth="1"/>
    <col min="5390" max="5632" width="8.7109375" style="2"/>
    <col min="5633" max="5633" width="18.42578125" style="2" customWidth="1"/>
    <col min="5634" max="5634" width="29.42578125" style="2" customWidth="1"/>
    <col min="5635" max="5635" width="22.85546875" style="2" customWidth="1"/>
    <col min="5636" max="5636" width="27.42578125" style="2" customWidth="1"/>
    <col min="5637" max="5637" width="24" style="2" bestFit="1" customWidth="1"/>
    <col min="5638" max="5638" width="21.85546875" style="2" bestFit="1" customWidth="1"/>
    <col min="5639" max="5639" width="20.85546875" style="2" bestFit="1" customWidth="1"/>
    <col min="5640" max="5640" width="26.85546875" style="2" bestFit="1" customWidth="1"/>
    <col min="5641" max="5641" width="11.7109375" style="2" customWidth="1"/>
    <col min="5642" max="5642" width="14.85546875" style="2" bestFit="1" customWidth="1"/>
    <col min="5643" max="5643" width="13.7109375" style="2" bestFit="1" customWidth="1"/>
    <col min="5644" max="5644" width="14.85546875" style="2" bestFit="1" customWidth="1"/>
    <col min="5645" max="5645" width="18" style="2" bestFit="1" customWidth="1"/>
    <col min="5646" max="5888" width="8.7109375" style="2"/>
    <col min="5889" max="5889" width="18.42578125" style="2" customWidth="1"/>
    <col min="5890" max="5890" width="29.42578125" style="2" customWidth="1"/>
    <col min="5891" max="5891" width="22.85546875" style="2" customWidth="1"/>
    <col min="5892" max="5892" width="27.42578125" style="2" customWidth="1"/>
    <col min="5893" max="5893" width="24" style="2" bestFit="1" customWidth="1"/>
    <col min="5894" max="5894" width="21.85546875" style="2" bestFit="1" customWidth="1"/>
    <col min="5895" max="5895" width="20.85546875" style="2" bestFit="1" customWidth="1"/>
    <col min="5896" max="5896" width="26.85546875" style="2" bestFit="1" customWidth="1"/>
    <col min="5897" max="5897" width="11.7109375" style="2" customWidth="1"/>
    <col min="5898" max="5898" width="14.85546875" style="2" bestFit="1" customWidth="1"/>
    <col min="5899" max="5899" width="13.7109375" style="2" bestFit="1" customWidth="1"/>
    <col min="5900" max="5900" width="14.85546875" style="2" bestFit="1" customWidth="1"/>
    <col min="5901" max="5901" width="18" style="2" bestFit="1" customWidth="1"/>
    <col min="5902" max="6144" width="8.7109375" style="2"/>
    <col min="6145" max="6145" width="18.42578125" style="2" customWidth="1"/>
    <col min="6146" max="6146" width="29.42578125" style="2" customWidth="1"/>
    <col min="6147" max="6147" width="22.85546875" style="2" customWidth="1"/>
    <col min="6148" max="6148" width="27.42578125" style="2" customWidth="1"/>
    <col min="6149" max="6149" width="24" style="2" bestFit="1" customWidth="1"/>
    <col min="6150" max="6150" width="21.85546875" style="2" bestFit="1" customWidth="1"/>
    <col min="6151" max="6151" width="20.85546875" style="2" bestFit="1" customWidth="1"/>
    <col min="6152" max="6152" width="26.85546875" style="2" bestFit="1" customWidth="1"/>
    <col min="6153" max="6153" width="11.7109375" style="2" customWidth="1"/>
    <col min="6154" max="6154" width="14.85546875" style="2" bestFit="1" customWidth="1"/>
    <col min="6155" max="6155" width="13.7109375" style="2" bestFit="1" customWidth="1"/>
    <col min="6156" max="6156" width="14.85546875" style="2" bestFit="1" customWidth="1"/>
    <col min="6157" max="6157" width="18" style="2" bestFit="1" customWidth="1"/>
    <col min="6158" max="6400" width="8.7109375" style="2"/>
    <col min="6401" max="6401" width="18.42578125" style="2" customWidth="1"/>
    <col min="6402" max="6402" width="29.42578125" style="2" customWidth="1"/>
    <col min="6403" max="6403" width="22.85546875" style="2" customWidth="1"/>
    <col min="6404" max="6404" width="27.42578125" style="2" customWidth="1"/>
    <col min="6405" max="6405" width="24" style="2" bestFit="1" customWidth="1"/>
    <col min="6406" max="6406" width="21.85546875" style="2" bestFit="1" customWidth="1"/>
    <col min="6407" max="6407" width="20.85546875" style="2" bestFit="1" customWidth="1"/>
    <col min="6408" max="6408" width="26.85546875" style="2" bestFit="1" customWidth="1"/>
    <col min="6409" max="6409" width="11.7109375" style="2" customWidth="1"/>
    <col min="6410" max="6410" width="14.85546875" style="2" bestFit="1" customWidth="1"/>
    <col min="6411" max="6411" width="13.7109375" style="2" bestFit="1" customWidth="1"/>
    <col min="6412" max="6412" width="14.85546875" style="2" bestFit="1" customWidth="1"/>
    <col min="6413" max="6413" width="18" style="2" bestFit="1" customWidth="1"/>
    <col min="6414" max="6656" width="8.7109375" style="2"/>
    <col min="6657" max="6657" width="18.42578125" style="2" customWidth="1"/>
    <col min="6658" max="6658" width="29.42578125" style="2" customWidth="1"/>
    <col min="6659" max="6659" width="22.85546875" style="2" customWidth="1"/>
    <col min="6660" max="6660" width="27.42578125" style="2" customWidth="1"/>
    <col min="6661" max="6661" width="24" style="2" bestFit="1" customWidth="1"/>
    <col min="6662" max="6662" width="21.85546875" style="2" bestFit="1" customWidth="1"/>
    <col min="6663" max="6663" width="20.85546875" style="2" bestFit="1" customWidth="1"/>
    <col min="6664" max="6664" width="26.85546875" style="2" bestFit="1" customWidth="1"/>
    <col min="6665" max="6665" width="11.7109375" style="2" customWidth="1"/>
    <col min="6666" max="6666" width="14.85546875" style="2" bestFit="1" customWidth="1"/>
    <col min="6667" max="6667" width="13.7109375" style="2" bestFit="1" customWidth="1"/>
    <col min="6668" max="6668" width="14.85546875" style="2" bestFit="1" customWidth="1"/>
    <col min="6669" max="6669" width="18" style="2" bestFit="1" customWidth="1"/>
    <col min="6670" max="6912" width="8.7109375" style="2"/>
    <col min="6913" max="6913" width="18.42578125" style="2" customWidth="1"/>
    <col min="6914" max="6914" width="29.42578125" style="2" customWidth="1"/>
    <col min="6915" max="6915" width="22.85546875" style="2" customWidth="1"/>
    <col min="6916" max="6916" width="27.42578125" style="2" customWidth="1"/>
    <col min="6917" max="6917" width="24" style="2" bestFit="1" customWidth="1"/>
    <col min="6918" max="6918" width="21.85546875" style="2" bestFit="1" customWidth="1"/>
    <col min="6919" max="6919" width="20.85546875" style="2" bestFit="1" customWidth="1"/>
    <col min="6920" max="6920" width="26.85546875" style="2" bestFit="1" customWidth="1"/>
    <col min="6921" max="6921" width="11.7109375" style="2" customWidth="1"/>
    <col min="6922" max="6922" width="14.85546875" style="2" bestFit="1" customWidth="1"/>
    <col min="6923" max="6923" width="13.7109375" style="2" bestFit="1" customWidth="1"/>
    <col min="6924" max="6924" width="14.85546875" style="2" bestFit="1" customWidth="1"/>
    <col min="6925" max="6925" width="18" style="2" bestFit="1" customWidth="1"/>
    <col min="6926" max="7168" width="8.7109375" style="2"/>
    <col min="7169" max="7169" width="18.42578125" style="2" customWidth="1"/>
    <col min="7170" max="7170" width="29.42578125" style="2" customWidth="1"/>
    <col min="7171" max="7171" width="22.85546875" style="2" customWidth="1"/>
    <col min="7172" max="7172" width="27.42578125" style="2" customWidth="1"/>
    <col min="7173" max="7173" width="24" style="2" bestFit="1" customWidth="1"/>
    <col min="7174" max="7174" width="21.85546875" style="2" bestFit="1" customWidth="1"/>
    <col min="7175" max="7175" width="20.85546875" style="2" bestFit="1" customWidth="1"/>
    <col min="7176" max="7176" width="26.85546875" style="2" bestFit="1" customWidth="1"/>
    <col min="7177" max="7177" width="11.7109375" style="2" customWidth="1"/>
    <col min="7178" max="7178" width="14.85546875" style="2" bestFit="1" customWidth="1"/>
    <col min="7179" max="7179" width="13.7109375" style="2" bestFit="1" customWidth="1"/>
    <col min="7180" max="7180" width="14.85546875" style="2" bestFit="1" customWidth="1"/>
    <col min="7181" max="7181" width="18" style="2" bestFit="1" customWidth="1"/>
    <col min="7182" max="7424" width="8.7109375" style="2"/>
    <col min="7425" max="7425" width="18.42578125" style="2" customWidth="1"/>
    <col min="7426" max="7426" width="29.42578125" style="2" customWidth="1"/>
    <col min="7427" max="7427" width="22.85546875" style="2" customWidth="1"/>
    <col min="7428" max="7428" width="27.42578125" style="2" customWidth="1"/>
    <col min="7429" max="7429" width="24" style="2" bestFit="1" customWidth="1"/>
    <col min="7430" max="7430" width="21.85546875" style="2" bestFit="1" customWidth="1"/>
    <col min="7431" max="7431" width="20.85546875" style="2" bestFit="1" customWidth="1"/>
    <col min="7432" max="7432" width="26.85546875" style="2" bestFit="1" customWidth="1"/>
    <col min="7433" max="7433" width="11.7109375" style="2" customWidth="1"/>
    <col min="7434" max="7434" width="14.85546875" style="2" bestFit="1" customWidth="1"/>
    <col min="7435" max="7435" width="13.7109375" style="2" bestFit="1" customWidth="1"/>
    <col min="7436" max="7436" width="14.85546875" style="2" bestFit="1" customWidth="1"/>
    <col min="7437" max="7437" width="18" style="2" bestFit="1" customWidth="1"/>
    <col min="7438" max="7680" width="8.7109375" style="2"/>
    <col min="7681" max="7681" width="18.42578125" style="2" customWidth="1"/>
    <col min="7682" max="7682" width="29.42578125" style="2" customWidth="1"/>
    <col min="7683" max="7683" width="22.85546875" style="2" customWidth="1"/>
    <col min="7684" max="7684" width="27.42578125" style="2" customWidth="1"/>
    <col min="7685" max="7685" width="24" style="2" bestFit="1" customWidth="1"/>
    <col min="7686" max="7686" width="21.85546875" style="2" bestFit="1" customWidth="1"/>
    <col min="7687" max="7687" width="20.85546875" style="2" bestFit="1" customWidth="1"/>
    <col min="7688" max="7688" width="26.85546875" style="2" bestFit="1" customWidth="1"/>
    <col min="7689" max="7689" width="11.7109375" style="2" customWidth="1"/>
    <col min="7690" max="7690" width="14.85546875" style="2" bestFit="1" customWidth="1"/>
    <col min="7691" max="7691" width="13.7109375" style="2" bestFit="1" customWidth="1"/>
    <col min="7692" max="7692" width="14.85546875" style="2" bestFit="1" customWidth="1"/>
    <col min="7693" max="7693" width="18" style="2" bestFit="1" customWidth="1"/>
    <col min="7694" max="7936" width="8.7109375" style="2"/>
    <col min="7937" max="7937" width="18.42578125" style="2" customWidth="1"/>
    <col min="7938" max="7938" width="29.42578125" style="2" customWidth="1"/>
    <col min="7939" max="7939" width="22.85546875" style="2" customWidth="1"/>
    <col min="7940" max="7940" width="27.42578125" style="2" customWidth="1"/>
    <col min="7941" max="7941" width="24" style="2" bestFit="1" customWidth="1"/>
    <col min="7942" max="7942" width="21.85546875" style="2" bestFit="1" customWidth="1"/>
    <col min="7943" max="7943" width="20.85546875" style="2" bestFit="1" customWidth="1"/>
    <col min="7944" max="7944" width="26.85546875" style="2" bestFit="1" customWidth="1"/>
    <col min="7945" max="7945" width="11.7109375" style="2" customWidth="1"/>
    <col min="7946" max="7946" width="14.85546875" style="2" bestFit="1" customWidth="1"/>
    <col min="7947" max="7947" width="13.7109375" style="2" bestFit="1" customWidth="1"/>
    <col min="7948" max="7948" width="14.85546875" style="2" bestFit="1" customWidth="1"/>
    <col min="7949" max="7949" width="18" style="2" bestFit="1" customWidth="1"/>
    <col min="7950" max="8192" width="8.7109375" style="2"/>
    <col min="8193" max="8193" width="18.42578125" style="2" customWidth="1"/>
    <col min="8194" max="8194" width="29.42578125" style="2" customWidth="1"/>
    <col min="8195" max="8195" width="22.85546875" style="2" customWidth="1"/>
    <col min="8196" max="8196" width="27.42578125" style="2" customWidth="1"/>
    <col min="8197" max="8197" width="24" style="2" bestFit="1" customWidth="1"/>
    <col min="8198" max="8198" width="21.85546875" style="2" bestFit="1" customWidth="1"/>
    <col min="8199" max="8199" width="20.85546875" style="2" bestFit="1" customWidth="1"/>
    <col min="8200" max="8200" width="26.85546875" style="2" bestFit="1" customWidth="1"/>
    <col min="8201" max="8201" width="11.7109375" style="2" customWidth="1"/>
    <col min="8202" max="8202" width="14.85546875" style="2" bestFit="1" customWidth="1"/>
    <col min="8203" max="8203" width="13.7109375" style="2" bestFit="1" customWidth="1"/>
    <col min="8204" max="8204" width="14.85546875" style="2" bestFit="1" customWidth="1"/>
    <col min="8205" max="8205" width="18" style="2" bestFit="1" customWidth="1"/>
    <col min="8206" max="8448" width="8.7109375" style="2"/>
    <col min="8449" max="8449" width="18.42578125" style="2" customWidth="1"/>
    <col min="8450" max="8450" width="29.42578125" style="2" customWidth="1"/>
    <col min="8451" max="8451" width="22.85546875" style="2" customWidth="1"/>
    <col min="8452" max="8452" width="27.42578125" style="2" customWidth="1"/>
    <col min="8453" max="8453" width="24" style="2" bestFit="1" customWidth="1"/>
    <col min="8454" max="8454" width="21.85546875" style="2" bestFit="1" customWidth="1"/>
    <col min="8455" max="8455" width="20.85546875" style="2" bestFit="1" customWidth="1"/>
    <col min="8456" max="8456" width="26.85546875" style="2" bestFit="1" customWidth="1"/>
    <col min="8457" max="8457" width="11.7109375" style="2" customWidth="1"/>
    <col min="8458" max="8458" width="14.85546875" style="2" bestFit="1" customWidth="1"/>
    <col min="8459" max="8459" width="13.7109375" style="2" bestFit="1" customWidth="1"/>
    <col min="8460" max="8460" width="14.85546875" style="2" bestFit="1" customWidth="1"/>
    <col min="8461" max="8461" width="18" style="2" bestFit="1" customWidth="1"/>
    <col min="8462" max="8704" width="8.7109375" style="2"/>
    <col min="8705" max="8705" width="18.42578125" style="2" customWidth="1"/>
    <col min="8706" max="8706" width="29.42578125" style="2" customWidth="1"/>
    <col min="8707" max="8707" width="22.85546875" style="2" customWidth="1"/>
    <col min="8708" max="8708" width="27.42578125" style="2" customWidth="1"/>
    <col min="8709" max="8709" width="24" style="2" bestFit="1" customWidth="1"/>
    <col min="8710" max="8710" width="21.85546875" style="2" bestFit="1" customWidth="1"/>
    <col min="8711" max="8711" width="20.85546875" style="2" bestFit="1" customWidth="1"/>
    <col min="8712" max="8712" width="26.85546875" style="2" bestFit="1" customWidth="1"/>
    <col min="8713" max="8713" width="11.7109375" style="2" customWidth="1"/>
    <col min="8714" max="8714" width="14.85546875" style="2" bestFit="1" customWidth="1"/>
    <col min="8715" max="8715" width="13.7109375" style="2" bestFit="1" customWidth="1"/>
    <col min="8716" max="8716" width="14.85546875" style="2" bestFit="1" customWidth="1"/>
    <col min="8717" max="8717" width="18" style="2" bestFit="1" customWidth="1"/>
    <col min="8718" max="8960" width="8.7109375" style="2"/>
    <col min="8961" max="8961" width="18.42578125" style="2" customWidth="1"/>
    <col min="8962" max="8962" width="29.42578125" style="2" customWidth="1"/>
    <col min="8963" max="8963" width="22.85546875" style="2" customWidth="1"/>
    <col min="8964" max="8964" width="27.42578125" style="2" customWidth="1"/>
    <col min="8965" max="8965" width="24" style="2" bestFit="1" customWidth="1"/>
    <col min="8966" max="8966" width="21.85546875" style="2" bestFit="1" customWidth="1"/>
    <col min="8967" max="8967" width="20.85546875" style="2" bestFit="1" customWidth="1"/>
    <col min="8968" max="8968" width="26.85546875" style="2" bestFit="1" customWidth="1"/>
    <col min="8969" max="8969" width="11.7109375" style="2" customWidth="1"/>
    <col min="8970" max="8970" width="14.85546875" style="2" bestFit="1" customWidth="1"/>
    <col min="8971" max="8971" width="13.7109375" style="2" bestFit="1" customWidth="1"/>
    <col min="8972" max="8972" width="14.85546875" style="2" bestFit="1" customWidth="1"/>
    <col min="8973" max="8973" width="18" style="2" bestFit="1" customWidth="1"/>
    <col min="8974" max="9216" width="8.7109375" style="2"/>
    <col min="9217" max="9217" width="18.42578125" style="2" customWidth="1"/>
    <col min="9218" max="9218" width="29.42578125" style="2" customWidth="1"/>
    <col min="9219" max="9219" width="22.85546875" style="2" customWidth="1"/>
    <col min="9220" max="9220" width="27.42578125" style="2" customWidth="1"/>
    <col min="9221" max="9221" width="24" style="2" bestFit="1" customWidth="1"/>
    <col min="9222" max="9222" width="21.85546875" style="2" bestFit="1" customWidth="1"/>
    <col min="9223" max="9223" width="20.85546875" style="2" bestFit="1" customWidth="1"/>
    <col min="9224" max="9224" width="26.85546875" style="2" bestFit="1" customWidth="1"/>
    <col min="9225" max="9225" width="11.7109375" style="2" customWidth="1"/>
    <col min="9226" max="9226" width="14.85546875" style="2" bestFit="1" customWidth="1"/>
    <col min="9227" max="9227" width="13.7109375" style="2" bestFit="1" customWidth="1"/>
    <col min="9228" max="9228" width="14.85546875" style="2" bestFit="1" customWidth="1"/>
    <col min="9229" max="9229" width="18" style="2" bestFit="1" customWidth="1"/>
    <col min="9230" max="9472" width="8.7109375" style="2"/>
    <col min="9473" max="9473" width="18.42578125" style="2" customWidth="1"/>
    <col min="9474" max="9474" width="29.42578125" style="2" customWidth="1"/>
    <col min="9475" max="9475" width="22.85546875" style="2" customWidth="1"/>
    <col min="9476" max="9476" width="27.42578125" style="2" customWidth="1"/>
    <col min="9477" max="9477" width="24" style="2" bestFit="1" customWidth="1"/>
    <col min="9478" max="9478" width="21.85546875" style="2" bestFit="1" customWidth="1"/>
    <col min="9479" max="9479" width="20.85546875" style="2" bestFit="1" customWidth="1"/>
    <col min="9480" max="9480" width="26.85546875" style="2" bestFit="1" customWidth="1"/>
    <col min="9481" max="9481" width="11.7109375" style="2" customWidth="1"/>
    <col min="9482" max="9482" width="14.85546875" style="2" bestFit="1" customWidth="1"/>
    <col min="9483" max="9483" width="13.7109375" style="2" bestFit="1" customWidth="1"/>
    <col min="9484" max="9484" width="14.85546875" style="2" bestFit="1" customWidth="1"/>
    <col min="9485" max="9485" width="18" style="2" bestFit="1" customWidth="1"/>
    <col min="9486" max="9728" width="8.7109375" style="2"/>
    <col min="9729" max="9729" width="18.42578125" style="2" customWidth="1"/>
    <col min="9730" max="9730" width="29.42578125" style="2" customWidth="1"/>
    <col min="9731" max="9731" width="22.85546875" style="2" customWidth="1"/>
    <col min="9732" max="9732" width="27.42578125" style="2" customWidth="1"/>
    <col min="9733" max="9733" width="24" style="2" bestFit="1" customWidth="1"/>
    <col min="9734" max="9734" width="21.85546875" style="2" bestFit="1" customWidth="1"/>
    <col min="9735" max="9735" width="20.85546875" style="2" bestFit="1" customWidth="1"/>
    <col min="9736" max="9736" width="26.85546875" style="2" bestFit="1" customWidth="1"/>
    <col min="9737" max="9737" width="11.7109375" style="2" customWidth="1"/>
    <col min="9738" max="9738" width="14.85546875" style="2" bestFit="1" customWidth="1"/>
    <col min="9739" max="9739" width="13.7109375" style="2" bestFit="1" customWidth="1"/>
    <col min="9740" max="9740" width="14.85546875" style="2" bestFit="1" customWidth="1"/>
    <col min="9741" max="9741" width="18" style="2" bestFit="1" customWidth="1"/>
    <col min="9742" max="9984" width="8.7109375" style="2"/>
    <col min="9985" max="9985" width="18.42578125" style="2" customWidth="1"/>
    <col min="9986" max="9986" width="29.42578125" style="2" customWidth="1"/>
    <col min="9987" max="9987" width="22.85546875" style="2" customWidth="1"/>
    <col min="9988" max="9988" width="27.42578125" style="2" customWidth="1"/>
    <col min="9989" max="9989" width="24" style="2" bestFit="1" customWidth="1"/>
    <col min="9990" max="9990" width="21.85546875" style="2" bestFit="1" customWidth="1"/>
    <col min="9991" max="9991" width="20.85546875" style="2" bestFit="1" customWidth="1"/>
    <col min="9992" max="9992" width="26.85546875" style="2" bestFit="1" customWidth="1"/>
    <col min="9993" max="9993" width="11.7109375" style="2" customWidth="1"/>
    <col min="9994" max="9994" width="14.85546875" style="2" bestFit="1" customWidth="1"/>
    <col min="9995" max="9995" width="13.7109375" style="2" bestFit="1" customWidth="1"/>
    <col min="9996" max="9996" width="14.85546875" style="2" bestFit="1" customWidth="1"/>
    <col min="9997" max="9997" width="18" style="2" bestFit="1" customWidth="1"/>
    <col min="9998" max="10240" width="8.7109375" style="2"/>
    <col min="10241" max="10241" width="18.42578125" style="2" customWidth="1"/>
    <col min="10242" max="10242" width="29.42578125" style="2" customWidth="1"/>
    <col min="10243" max="10243" width="22.85546875" style="2" customWidth="1"/>
    <col min="10244" max="10244" width="27.42578125" style="2" customWidth="1"/>
    <col min="10245" max="10245" width="24" style="2" bestFit="1" customWidth="1"/>
    <col min="10246" max="10246" width="21.85546875" style="2" bestFit="1" customWidth="1"/>
    <col min="10247" max="10247" width="20.85546875" style="2" bestFit="1" customWidth="1"/>
    <col min="10248" max="10248" width="26.85546875" style="2" bestFit="1" customWidth="1"/>
    <col min="10249" max="10249" width="11.7109375" style="2" customWidth="1"/>
    <col min="10250" max="10250" width="14.85546875" style="2" bestFit="1" customWidth="1"/>
    <col min="10251" max="10251" width="13.7109375" style="2" bestFit="1" customWidth="1"/>
    <col min="10252" max="10252" width="14.85546875" style="2" bestFit="1" customWidth="1"/>
    <col min="10253" max="10253" width="18" style="2" bestFit="1" customWidth="1"/>
    <col min="10254" max="10496" width="8.7109375" style="2"/>
    <col min="10497" max="10497" width="18.42578125" style="2" customWidth="1"/>
    <col min="10498" max="10498" width="29.42578125" style="2" customWidth="1"/>
    <col min="10499" max="10499" width="22.85546875" style="2" customWidth="1"/>
    <col min="10500" max="10500" width="27.42578125" style="2" customWidth="1"/>
    <col min="10501" max="10501" width="24" style="2" bestFit="1" customWidth="1"/>
    <col min="10502" max="10502" width="21.85546875" style="2" bestFit="1" customWidth="1"/>
    <col min="10503" max="10503" width="20.85546875" style="2" bestFit="1" customWidth="1"/>
    <col min="10504" max="10504" width="26.85546875" style="2" bestFit="1" customWidth="1"/>
    <col min="10505" max="10505" width="11.7109375" style="2" customWidth="1"/>
    <col min="10506" max="10506" width="14.85546875" style="2" bestFit="1" customWidth="1"/>
    <col min="10507" max="10507" width="13.7109375" style="2" bestFit="1" customWidth="1"/>
    <col min="10508" max="10508" width="14.85546875" style="2" bestFit="1" customWidth="1"/>
    <col min="10509" max="10509" width="18" style="2" bestFit="1" customWidth="1"/>
    <col min="10510" max="10752" width="8.7109375" style="2"/>
    <col min="10753" max="10753" width="18.42578125" style="2" customWidth="1"/>
    <col min="10754" max="10754" width="29.42578125" style="2" customWidth="1"/>
    <col min="10755" max="10755" width="22.85546875" style="2" customWidth="1"/>
    <col min="10756" max="10756" width="27.42578125" style="2" customWidth="1"/>
    <col min="10757" max="10757" width="24" style="2" bestFit="1" customWidth="1"/>
    <col min="10758" max="10758" width="21.85546875" style="2" bestFit="1" customWidth="1"/>
    <col min="10759" max="10759" width="20.85546875" style="2" bestFit="1" customWidth="1"/>
    <col min="10760" max="10760" width="26.85546875" style="2" bestFit="1" customWidth="1"/>
    <col min="10761" max="10761" width="11.7109375" style="2" customWidth="1"/>
    <col min="10762" max="10762" width="14.85546875" style="2" bestFit="1" customWidth="1"/>
    <col min="10763" max="10763" width="13.7109375" style="2" bestFit="1" customWidth="1"/>
    <col min="10764" max="10764" width="14.85546875" style="2" bestFit="1" customWidth="1"/>
    <col min="10765" max="10765" width="18" style="2" bestFit="1" customWidth="1"/>
    <col min="10766" max="11008" width="8.7109375" style="2"/>
    <col min="11009" max="11009" width="18.42578125" style="2" customWidth="1"/>
    <col min="11010" max="11010" width="29.42578125" style="2" customWidth="1"/>
    <col min="11011" max="11011" width="22.85546875" style="2" customWidth="1"/>
    <col min="11012" max="11012" width="27.42578125" style="2" customWidth="1"/>
    <col min="11013" max="11013" width="24" style="2" bestFit="1" customWidth="1"/>
    <col min="11014" max="11014" width="21.85546875" style="2" bestFit="1" customWidth="1"/>
    <col min="11015" max="11015" width="20.85546875" style="2" bestFit="1" customWidth="1"/>
    <col min="11016" max="11016" width="26.85546875" style="2" bestFit="1" customWidth="1"/>
    <col min="11017" max="11017" width="11.7109375" style="2" customWidth="1"/>
    <col min="11018" max="11018" width="14.85546875" style="2" bestFit="1" customWidth="1"/>
    <col min="11019" max="11019" width="13.7109375" style="2" bestFit="1" customWidth="1"/>
    <col min="11020" max="11020" width="14.85546875" style="2" bestFit="1" customWidth="1"/>
    <col min="11021" max="11021" width="18" style="2" bestFit="1" customWidth="1"/>
    <col min="11022" max="11264" width="8.7109375" style="2"/>
    <col min="11265" max="11265" width="18.42578125" style="2" customWidth="1"/>
    <col min="11266" max="11266" width="29.42578125" style="2" customWidth="1"/>
    <col min="11267" max="11267" width="22.85546875" style="2" customWidth="1"/>
    <col min="11268" max="11268" width="27.42578125" style="2" customWidth="1"/>
    <col min="11269" max="11269" width="24" style="2" bestFit="1" customWidth="1"/>
    <col min="11270" max="11270" width="21.85546875" style="2" bestFit="1" customWidth="1"/>
    <col min="11271" max="11271" width="20.85546875" style="2" bestFit="1" customWidth="1"/>
    <col min="11272" max="11272" width="26.85546875" style="2" bestFit="1" customWidth="1"/>
    <col min="11273" max="11273" width="11.7109375" style="2" customWidth="1"/>
    <col min="11274" max="11274" width="14.85546875" style="2" bestFit="1" customWidth="1"/>
    <col min="11275" max="11275" width="13.7109375" style="2" bestFit="1" customWidth="1"/>
    <col min="11276" max="11276" width="14.85546875" style="2" bestFit="1" customWidth="1"/>
    <col min="11277" max="11277" width="18" style="2" bestFit="1" customWidth="1"/>
    <col min="11278" max="11520" width="8.7109375" style="2"/>
    <col min="11521" max="11521" width="18.42578125" style="2" customWidth="1"/>
    <col min="11522" max="11522" width="29.42578125" style="2" customWidth="1"/>
    <col min="11523" max="11523" width="22.85546875" style="2" customWidth="1"/>
    <col min="11524" max="11524" width="27.42578125" style="2" customWidth="1"/>
    <col min="11525" max="11525" width="24" style="2" bestFit="1" customWidth="1"/>
    <col min="11526" max="11526" width="21.85546875" style="2" bestFit="1" customWidth="1"/>
    <col min="11527" max="11527" width="20.85546875" style="2" bestFit="1" customWidth="1"/>
    <col min="11528" max="11528" width="26.85546875" style="2" bestFit="1" customWidth="1"/>
    <col min="11529" max="11529" width="11.7109375" style="2" customWidth="1"/>
    <col min="11530" max="11530" width="14.85546875" style="2" bestFit="1" customWidth="1"/>
    <col min="11531" max="11531" width="13.7109375" style="2" bestFit="1" customWidth="1"/>
    <col min="11532" max="11532" width="14.85546875" style="2" bestFit="1" customWidth="1"/>
    <col min="11533" max="11533" width="18" style="2" bestFit="1" customWidth="1"/>
    <col min="11534" max="11776" width="8.7109375" style="2"/>
    <col min="11777" max="11777" width="18.42578125" style="2" customWidth="1"/>
    <col min="11778" max="11778" width="29.42578125" style="2" customWidth="1"/>
    <col min="11779" max="11779" width="22.85546875" style="2" customWidth="1"/>
    <col min="11780" max="11780" width="27.42578125" style="2" customWidth="1"/>
    <col min="11781" max="11781" width="24" style="2" bestFit="1" customWidth="1"/>
    <col min="11782" max="11782" width="21.85546875" style="2" bestFit="1" customWidth="1"/>
    <col min="11783" max="11783" width="20.85546875" style="2" bestFit="1" customWidth="1"/>
    <col min="11784" max="11784" width="26.85546875" style="2" bestFit="1" customWidth="1"/>
    <col min="11785" max="11785" width="11.7109375" style="2" customWidth="1"/>
    <col min="11786" max="11786" width="14.85546875" style="2" bestFit="1" customWidth="1"/>
    <col min="11787" max="11787" width="13.7109375" style="2" bestFit="1" customWidth="1"/>
    <col min="11788" max="11788" width="14.85546875" style="2" bestFit="1" customWidth="1"/>
    <col min="11789" max="11789" width="18" style="2" bestFit="1" customWidth="1"/>
    <col min="11790" max="12032" width="8.7109375" style="2"/>
    <col min="12033" max="12033" width="18.42578125" style="2" customWidth="1"/>
    <col min="12034" max="12034" width="29.42578125" style="2" customWidth="1"/>
    <col min="12035" max="12035" width="22.85546875" style="2" customWidth="1"/>
    <col min="12036" max="12036" width="27.42578125" style="2" customWidth="1"/>
    <col min="12037" max="12037" width="24" style="2" bestFit="1" customWidth="1"/>
    <col min="12038" max="12038" width="21.85546875" style="2" bestFit="1" customWidth="1"/>
    <col min="12039" max="12039" width="20.85546875" style="2" bestFit="1" customWidth="1"/>
    <col min="12040" max="12040" width="26.85546875" style="2" bestFit="1" customWidth="1"/>
    <col min="12041" max="12041" width="11.7109375" style="2" customWidth="1"/>
    <col min="12042" max="12042" width="14.85546875" style="2" bestFit="1" customWidth="1"/>
    <col min="12043" max="12043" width="13.7109375" style="2" bestFit="1" customWidth="1"/>
    <col min="12044" max="12044" width="14.85546875" style="2" bestFit="1" customWidth="1"/>
    <col min="12045" max="12045" width="18" style="2" bestFit="1" customWidth="1"/>
    <col min="12046" max="12288" width="8.7109375" style="2"/>
    <col min="12289" max="12289" width="18.42578125" style="2" customWidth="1"/>
    <col min="12290" max="12290" width="29.42578125" style="2" customWidth="1"/>
    <col min="12291" max="12291" width="22.85546875" style="2" customWidth="1"/>
    <col min="12292" max="12292" width="27.42578125" style="2" customWidth="1"/>
    <col min="12293" max="12293" width="24" style="2" bestFit="1" customWidth="1"/>
    <col min="12294" max="12294" width="21.85546875" style="2" bestFit="1" customWidth="1"/>
    <col min="12295" max="12295" width="20.85546875" style="2" bestFit="1" customWidth="1"/>
    <col min="12296" max="12296" width="26.85546875" style="2" bestFit="1" customWidth="1"/>
    <col min="12297" max="12297" width="11.7109375" style="2" customWidth="1"/>
    <col min="12298" max="12298" width="14.85546875" style="2" bestFit="1" customWidth="1"/>
    <col min="12299" max="12299" width="13.7109375" style="2" bestFit="1" customWidth="1"/>
    <col min="12300" max="12300" width="14.85546875" style="2" bestFit="1" customWidth="1"/>
    <col min="12301" max="12301" width="18" style="2" bestFit="1" customWidth="1"/>
    <col min="12302" max="12544" width="8.7109375" style="2"/>
    <col min="12545" max="12545" width="18.42578125" style="2" customWidth="1"/>
    <col min="12546" max="12546" width="29.42578125" style="2" customWidth="1"/>
    <col min="12547" max="12547" width="22.85546875" style="2" customWidth="1"/>
    <col min="12548" max="12548" width="27.42578125" style="2" customWidth="1"/>
    <col min="12549" max="12549" width="24" style="2" bestFit="1" customWidth="1"/>
    <col min="12550" max="12550" width="21.85546875" style="2" bestFit="1" customWidth="1"/>
    <col min="12551" max="12551" width="20.85546875" style="2" bestFit="1" customWidth="1"/>
    <col min="12552" max="12552" width="26.85546875" style="2" bestFit="1" customWidth="1"/>
    <col min="12553" max="12553" width="11.7109375" style="2" customWidth="1"/>
    <col min="12554" max="12554" width="14.85546875" style="2" bestFit="1" customWidth="1"/>
    <col min="12555" max="12555" width="13.7109375" style="2" bestFit="1" customWidth="1"/>
    <col min="12556" max="12556" width="14.85546875" style="2" bestFit="1" customWidth="1"/>
    <col min="12557" max="12557" width="18" style="2" bestFit="1" customWidth="1"/>
    <col min="12558" max="12800" width="8.7109375" style="2"/>
    <col min="12801" max="12801" width="18.42578125" style="2" customWidth="1"/>
    <col min="12802" max="12802" width="29.42578125" style="2" customWidth="1"/>
    <col min="12803" max="12803" width="22.85546875" style="2" customWidth="1"/>
    <col min="12804" max="12804" width="27.42578125" style="2" customWidth="1"/>
    <col min="12805" max="12805" width="24" style="2" bestFit="1" customWidth="1"/>
    <col min="12806" max="12806" width="21.85546875" style="2" bestFit="1" customWidth="1"/>
    <col min="12807" max="12807" width="20.85546875" style="2" bestFit="1" customWidth="1"/>
    <col min="12808" max="12808" width="26.85546875" style="2" bestFit="1" customWidth="1"/>
    <col min="12809" max="12809" width="11.7109375" style="2" customWidth="1"/>
    <col min="12810" max="12810" width="14.85546875" style="2" bestFit="1" customWidth="1"/>
    <col min="12811" max="12811" width="13.7109375" style="2" bestFit="1" customWidth="1"/>
    <col min="12812" max="12812" width="14.85546875" style="2" bestFit="1" customWidth="1"/>
    <col min="12813" max="12813" width="18" style="2" bestFit="1" customWidth="1"/>
    <col min="12814" max="13056" width="8.7109375" style="2"/>
    <col min="13057" max="13057" width="18.42578125" style="2" customWidth="1"/>
    <col min="13058" max="13058" width="29.42578125" style="2" customWidth="1"/>
    <col min="13059" max="13059" width="22.85546875" style="2" customWidth="1"/>
    <col min="13060" max="13060" width="27.42578125" style="2" customWidth="1"/>
    <col min="13061" max="13061" width="24" style="2" bestFit="1" customWidth="1"/>
    <col min="13062" max="13062" width="21.85546875" style="2" bestFit="1" customWidth="1"/>
    <col min="13063" max="13063" width="20.85546875" style="2" bestFit="1" customWidth="1"/>
    <col min="13064" max="13064" width="26.85546875" style="2" bestFit="1" customWidth="1"/>
    <col min="13065" max="13065" width="11.7109375" style="2" customWidth="1"/>
    <col min="13066" max="13066" width="14.85546875" style="2" bestFit="1" customWidth="1"/>
    <col min="13067" max="13067" width="13.7109375" style="2" bestFit="1" customWidth="1"/>
    <col min="13068" max="13068" width="14.85546875" style="2" bestFit="1" customWidth="1"/>
    <col min="13069" max="13069" width="18" style="2" bestFit="1" customWidth="1"/>
    <col min="13070" max="13312" width="8.7109375" style="2"/>
    <col min="13313" max="13313" width="18.42578125" style="2" customWidth="1"/>
    <col min="13314" max="13314" width="29.42578125" style="2" customWidth="1"/>
    <col min="13315" max="13315" width="22.85546875" style="2" customWidth="1"/>
    <col min="13316" max="13316" width="27.42578125" style="2" customWidth="1"/>
    <col min="13317" max="13317" width="24" style="2" bestFit="1" customWidth="1"/>
    <col min="13318" max="13318" width="21.85546875" style="2" bestFit="1" customWidth="1"/>
    <col min="13319" max="13319" width="20.85546875" style="2" bestFit="1" customWidth="1"/>
    <col min="13320" max="13320" width="26.85546875" style="2" bestFit="1" customWidth="1"/>
    <col min="13321" max="13321" width="11.7109375" style="2" customWidth="1"/>
    <col min="13322" max="13322" width="14.85546875" style="2" bestFit="1" customWidth="1"/>
    <col min="13323" max="13323" width="13.7109375" style="2" bestFit="1" customWidth="1"/>
    <col min="13324" max="13324" width="14.85546875" style="2" bestFit="1" customWidth="1"/>
    <col min="13325" max="13325" width="18" style="2" bestFit="1" customWidth="1"/>
    <col min="13326" max="13568" width="8.7109375" style="2"/>
    <col min="13569" max="13569" width="18.42578125" style="2" customWidth="1"/>
    <col min="13570" max="13570" width="29.42578125" style="2" customWidth="1"/>
    <col min="13571" max="13571" width="22.85546875" style="2" customWidth="1"/>
    <col min="13572" max="13572" width="27.42578125" style="2" customWidth="1"/>
    <col min="13573" max="13573" width="24" style="2" bestFit="1" customWidth="1"/>
    <col min="13574" max="13574" width="21.85546875" style="2" bestFit="1" customWidth="1"/>
    <col min="13575" max="13575" width="20.85546875" style="2" bestFit="1" customWidth="1"/>
    <col min="13576" max="13576" width="26.85546875" style="2" bestFit="1" customWidth="1"/>
    <col min="13577" max="13577" width="11.7109375" style="2" customWidth="1"/>
    <col min="13578" max="13578" width="14.85546875" style="2" bestFit="1" customWidth="1"/>
    <col min="13579" max="13579" width="13.7109375" style="2" bestFit="1" customWidth="1"/>
    <col min="13580" max="13580" width="14.85546875" style="2" bestFit="1" customWidth="1"/>
    <col min="13581" max="13581" width="18" style="2" bestFit="1" customWidth="1"/>
    <col min="13582" max="13824" width="8.7109375" style="2"/>
    <col min="13825" max="13825" width="18.42578125" style="2" customWidth="1"/>
    <col min="13826" max="13826" width="29.42578125" style="2" customWidth="1"/>
    <col min="13827" max="13827" width="22.85546875" style="2" customWidth="1"/>
    <col min="13828" max="13828" width="27.42578125" style="2" customWidth="1"/>
    <col min="13829" max="13829" width="24" style="2" bestFit="1" customWidth="1"/>
    <col min="13830" max="13830" width="21.85546875" style="2" bestFit="1" customWidth="1"/>
    <col min="13831" max="13831" width="20.85546875" style="2" bestFit="1" customWidth="1"/>
    <col min="13832" max="13832" width="26.85546875" style="2" bestFit="1" customWidth="1"/>
    <col min="13833" max="13833" width="11.7109375" style="2" customWidth="1"/>
    <col min="13834" max="13834" width="14.85546875" style="2" bestFit="1" customWidth="1"/>
    <col min="13835" max="13835" width="13.7109375" style="2" bestFit="1" customWidth="1"/>
    <col min="13836" max="13836" width="14.85546875" style="2" bestFit="1" customWidth="1"/>
    <col min="13837" max="13837" width="18" style="2" bestFit="1" customWidth="1"/>
    <col min="13838" max="14080" width="8.7109375" style="2"/>
    <col min="14081" max="14081" width="18.42578125" style="2" customWidth="1"/>
    <col min="14082" max="14082" width="29.42578125" style="2" customWidth="1"/>
    <col min="14083" max="14083" width="22.85546875" style="2" customWidth="1"/>
    <col min="14084" max="14084" width="27.42578125" style="2" customWidth="1"/>
    <col min="14085" max="14085" width="24" style="2" bestFit="1" customWidth="1"/>
    <col min="14086" max="14086" width="21.85546875" style="2" bestFit="1" customWidth="1"/>
    <col min="14087" max="14087" width="20.85546875" style="2" bestFit="1" customWidth="1"/>
    <col min="14088" max="14088" width="26.85546875" style="2" bestFit="1" customWidth="1"/>
    <col min="14089" max="14089" width="11.7109375" style="2" customWidth="1"/>
    <col min="14090" max="14090" width="14.85546875" style="2" bestFit="1" customWidth="1"/>
    <col min="14091" max="14091" width="13.7109375" style="2" bestFit="1" customWidth="1"/>
    <col min="14092" max="14092" width="14.85546875" style="2" bestFit="1" customWidth="1"/>
    <col min="14093" max="14093" width="18" style="2" bestFit="1" customWidth="1"/>
    <col min="14094" max="14336" width="8.7109375" style="2"/>
    <col min="14337" max="14337" width="18.42578125" style="2" customWidth="1"/>
    <col min="14338" max="14338" width="29.42578125" style="2" customWidth="1"/>
    <col min="14339" max="14339" width="22.85546875" style="2" customWidth="1"/>
    <col min="14340" max="14340" width="27.42578125" style="2" customWidth="1"/>
    <col min="14341" max="14341" width="24" style="2" bestFit="1" customWidth="1"/>
    <col min="14342" max="14342" width="21.85546875" style="2" bestFit="1" customWidth="1"/>
    <col min="14343" max="14343" width="20.85546875" style="2" bestFit="1" customWidth="1"/>
    <col min="14344" max="14344" width="26.85546875" style="2" bestFit="1" customWidth="1"/>
    <col min="14345" max="14345" width="11.7109375" style="2" customWidth="1"/>
    <col min="14346" max="14346" width="14.85546875" style="2" bestFit="1" customWidth="1"/>
    <col min="14347" max="14347" width="13.7109375" style="2" bestFit="1" customWidth="1"/>
    <col min="14348" max="14348" width="14.85546875" style="2" bestFit="1" customWidth="1"/>
    <col min="14349" max="14349" width="18" style="2" bestFit="1" customWidth="1"/>
    <col min="14350" max="14592" width="8.7109375" style="2"/>
    <col min="14593" max="14593" width="18.42578125" style="2" customWidth="1"/>
    <col min="14594" max="14594" width="29.42578125" style="2" customWidth="1"/>
    <col min="14595" max="14595" width="22.85546875" style="2" customWidth="1"/>
    <col min="14596" max="14596" width="27.42578125" style="2" customWidth="1"/>
    <col min="14597" max="14597" width="24" style="2" bestFit="1" customWidth="1"/>
    <col min="14598" max="14598" width="21.85546875" style="2" bestFit="1" customWidth="1"/>
    <col min="14599" max="14599" width="20.85546875" style="2" bestFit="1" customWidth="1"/>
    <col min="14600" max="14600" width="26.85546875" style="2" bestFit="1" customWidth="1"/>
    <col min="14601" max="14601" width="11.7109375" style="2" customWidth="1"/>
    <col min="14602" max="14602" width="14.85546875" style="2" bestFit="1" customWidth="1"/>
    <col min="14603" max="14603" width="13.7109375" style="2" bestFit="1" customWidth="1"/>
    <col min="14604" max="14604" width="14.85546875" style="2" bestFit="1" customWidth="1"/>
    <col min="14605" max="14605" width="18" style="2" bestFit="1" customWidth="1"/>
    <col min="14606" max="14848" width="8.7109375" style="2"/>
    <col min="14849" max="14849" width="18.42578125" style="2" customWidth="1"/>
    <col min="14850" max="14850" width="29.42578125" style="2" customWidth="1"/>
    <col min="14851" max="14851" width="22.85546875" style="2" customWidth="1"/>
    <col min="14852" max="14852" width="27.42578125" style="2" customWidth="1"/>
    <col min="14853" max="14853" width="24" style="2" bestFit="1" customWidth="1"/>
    <col min="14854" max="14854" width="21.85546875" style="2" bestFit="1" customWidth="1"/>
    <col min="14855" max="14855" width="20.85546875" style="2" bestFit="1" customWidth="1"/>
    <col min="14856" max="14856" width="26.85546875" style="2" bestFit="1" customWidth="1"/>
    <col min="14857" max="14857" width="11.7109375" style="2" customWidth="1"/>
    <col min="14858" max="14858" width="14.85546875" style="2" bestFit="1" customWidth="1"/>
    <col min="14859" max="14859" width="13.7109375" style="2" bestFit="1" customWidth="1"/>
    <col min="14860" max="14860" width="14.85546875" style="2" bestFit="1" customWidth="1"/>
    <col min="14861" max="14861" width="18" style="2" bestFit="1" customWidth="1"/>
    <col min="14862" max="15104" width="8.7109375" style="2"/>
    <col min="15105" max="15105" width="18.42578125" style="2" customWidth="1"/>
    <col min="15106" max="15106" width="29.42578125" style="2" customWidth="1"/>
    <col min="15107" max="15107" width="22.85546875" style="2" customWidth="1"/>
    <col min="15108" max="15108" width="27.42578125" style="2" customWidth="1"/>
    <col min="15109" max="15109" width="24" style="2" bestFit="1" customWidth="1"/>
    <col min="15110" max="15110" width="21.85546875" style="2" bestFit="1" customWidth="1"/>
    <col min="15111" max="15111" width="20.85546875" style="2" bestFit="1" customWidth="1"/>
    <col min="15112" max="15112" width="26.85546875" style="2" bestFit="1" customWidth="1"/>
    <col min="15113" max="15113" width="11.7109375" style="2" customWidth="1"/>
    <col min="15114" max="15114" width="14.85546875" style="2" bestFit="1" customWidth="1"/>
    <col min="15115" max="15115" width="13.7109375" style="2" bestFit="1" customWidth="1"/>
    <col min="15116" max="15116" width="14.85546875" style="2" bestFit="1" customWidth="1"/>
    <col min="15117" max="15117" width="18" style="2" bestFit="1" customWidth="1"/>
    <col min="15118" max="15360" width="8.7109375" style="2"/>
    <col min="15361" max="15361" width="18.42578125" style="2" customWidth="1"/>
    <col min="15362" max="15362" width="29.42578125" style="2" customWidth="1"/>
    <col min="15363" max="15363" width="22.85546875" style="2" customWidth="1"/>
    <col min="15364" max="15364" width="27.42578125" style="2" customWidth="1"/>
    <col min="15365" max="15365" width="24" style="2" bestFit="1" customWidth="1"/>
    <col min="15366" max="15366" width="21.85546875" style="2" bestFit="1" customWidth="1"/>
    <col min="15367" max="15367" width="20.85546875" style="2" bestFit="1" customWidth="1"/>
    <col min="15368" max="15368" width="26.85546875" style="2" bestFit="1" customWidth="1"/>
    <col min="15369" max="15369" width="11.7109375" style="2" customWidth="1"/>
    <col min="15370" max="15370" width="14.85546875" style="2" bestFit="1" customWidth="1"/>
    <col min="15371" max="15371" width="13.7109375" style="2" bestFit="1" customWidth="1"/>
    <col min="15372" max="15372" width="14.85546875" style="2" bestFit="1" customWidth="1"/>
    <col min="15373" max="15373" width="18" style="2" bestFit="1" customWidth="1"/>
    <col min="15374" max="15616" width="8.7109375" style="2"/>
    <col min="15617" max="15617" width="18.42578125" style="2" customWidth="1"/>
    <col min="15618" max="15618" width="29.42578125" style="2" customWidth="1"/>
    <col min="15619" max="15619" width="22.85546875" style="2" customWidth="1"/>
    <col min="15620" max="15620" width="27.42578125" style="2" customWidth="1"/>
    <col min="15621" max="15621" width="24" style="2" bestFit="1" customWidth="1"/>
    <col min="15622" max="15622" width="21.85546875" style="2" bestFit="1" customWidth="1"/>
    <col min="15623" max="15623" width="20.85546875" style="2" bestFit="1" customWidth="1"/>
    <col min="15624" max="15624" width="26.85546875" style="2" bestFit="1" customWidth="1"/>
    <col min="15625" max="15625" width="11.7109375" style="2" customWidth="1"/>
    <col min="15626" max="15626" width="14.85546875" style="2" bestFit="1" customWidth="1"/>
    <col min="15627" max="15627" width="13.7109375" style="2" bestFit="1" customWidth="1"/>
    <col min="15628" max="15628" width="14.85546875" style="2" bestFit="1" customWidth="1"/>
    <col min="15629" max="15629" width="18" style="2" bestFit="1" customWidth="1"/>
    <col min="15630" max="15872" width="8.7109375" style="2"/>
    <col min="15873" max="15873" width="18.42578125" style="2" customWidth="1"/>
    <col min="15874" max="15874" width="29.42578125" style="2" customWidth="1"/>
    <col min="15875" max="15875" width="22.85546875" style="2" customWidth="1"/>
    <col min="15876" max="15876" width="27.42578125" style="2" customWidth="1"/>
    <col min="15877" max="15877" width="24" style="2" bestFit="1" customWidth="1"/>
    <col min="15878" max="15878" width="21.85546875" style="2" bestFit="1" customWidth="1"/>
    <col min="15879" max="15879" width="20.85546875" style="2" bestFit="1" customWidth="1"/>
    <col min="15880" max="15880" width="26.85546875" style="2" bestFit="1" customWidth="1"/>
    <col min="15881" max="15881" width="11.7109375" style="2" customWidth="1"/>
    <col min="15882" max="15882" width="14.85546875" style="2" bestFit="1" customWidth="1"/>
    <col min="15883" max="15883" width="13.7109375" style="2" bestFit="1" customWidth="1"/>
    <col min="15884" max="15884" width="14.85546875" style="2" bestFit="1" customWidth="1"/>
    <col min="15885" max="15885" width="18" style="2" bestFit="1" customWidth="1"/>
    <col min="15886" max="16128" width="8.7109375" style="2"/>
    <col min="16129" max="16129" width="18.42578125" style="2" customWidth="1"/>
    <col min="16130" max="16130" width="29.42578125" style="2" customWidth="1"/>
    <col min="16131" max="16131" width="22.85546875" style="2" customWidth="1"/>
    <col min="16132" max="16132" width="27.42578125" style="2" customWidth="1"/>
    <col min="16133" max="16133" width="24" style="2" bestFit="1" customWidth="1"/>
    <col min="16134" max="16134" width="21.85546875" style="2" bestFit="1" customWidth="1"/>
    <col min="16135" max="16135" width="20.85546875" style="2" bestFit="1" customWidth="1"/>
    <col min="16136" max="16136" width="26.85546875" style="2" bestFit="1" customWidth="1"/>
    <col min="16137" max="16137" width="11.7109375" style="2" customWidth="1"/>
    <col min="16138" max="16138" width="14.85546875" style="2" bestFit="1" customWidth="1"/>
    <col min="16139" max="16139" width="13.7109375" style="2" bestFit="1" customWidth="1"/>
    <col min="16140" max="16140" width="14.85546875" style="2" bestFit="1" customWidth="1"/>
    <col min="16141" max="16141" width="18" style="2" bestFit="1" customWidth="1"/>
    <col min="16142" max="16384" width="8.7109375" style="2"/>
  </cols>
  <sheetData>
    <row r="2" spans="1:12" ht="15.75">
      <c r="A2" s="1"/>
      <c r="B2" s="1"/>
      <c r="C2" s="1"/>
    </row>
    <row r="3" spans="1:12" ht="15.75" customHeight="1">
      <c r="A3" s="21" t="s">
        <v>0</v>
      </c>
      <c r="B3" s="21"/>
      <c r="C3" s="21"/>
    </row>
    <row r="4" spans="1:12" ht="15.75" customHeight="1">
      <c r="A4" s="21" t="s">
        <v>1</v>
      </c>
      <c r="B4" s="21"/>
      <c r="C4" s="21"/>
    </row>
    <row r="5" spans="1:12" ht="15.75" customHeight="1">
      <c r="A5" s="21" t="s">
        <v>2</v>
      </c>
      <c r="B5" s="21"/>
      <c r="C5" s="21"/>
    </row>
    <row r="6" spans="1:12" ht="15.75" customHeight="1">
      <c r="A6" s="21" t="s">
        <v>3</v>
      </c>
      <c r="B6" s="21"/>
      <c r="C6" s="21"/>
    </row>
    <row r="7" spans="1:12" ht="15.75" customHeight="1">
      <c r="A7" s="3"/>
      <c r="B7" s="3"/>
      <c r="C7" s="4"/>
    </row>
    <row r="8" spans="1:12" ht="15.75" customHeight="1">
      <c r="A8" s="3"/>
      <c r="B8" s="3"/>
      <c r="C8" s="3"/>
    </row>
    <row r="9" spans="1:12" ht="15.75">
      <c r="A9" s="4"/>
    </row>
    <row r="10" spans="1:12" s="1" customFormat="1" ht="20.100000000000001" customHeight="1">
      <c r="A10" s="20" t="s">
        <v>4</v>
      </c>
      <c r="B10" s="20"/>
      <c r="C10" s="20"/>
      <c r="D10" s="5"/>
      <c r="E10" s="6"/>
      <c r="F10" s="6"/>
    </row>
    <row r="11" spans="1:12" s="1" customFormat="1" ht="20.100000000000001" customHeight="1">
      <c r="A11" s="20" t="s">
        <v>39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 s="1" customFormat="1" ht="20.100000000000001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s="1" customFormat="1" ht="20.100000000000001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s="1" customFormat="1" ht="20.100000000000001" customHeight="1">
      <c r="A14" s="20" t="s">
        <v>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s="1" customFormat="1" ht="20.100000000000001" customHeight="1">
      <c r="A15" s="20" t="s">
        <v>40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2" s="1" customFormat="1" ht="20.100000000000001" customHeight="1">
      <c r="A16" s="20" t="s">
        <v>41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3" s="1" customFormat="1" ht="20.100000000000001" customHeight="1">
      <c r="A17" s="20" t="s">
        <v>42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3" s="1" customFormat="1" ht="20.100000000000001" customHeight="1">
      <c r="A18" s="20" t="s">
        <v>43</v>
      </c>
      <c r="B18" s="20" t="s">
        <v>6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3" s="1" customFormat="1" ht="20.100000000000001" customHeight="1">
      <c r="A19" s="20" t="s">
        <v>44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3" s="1" customFormat="1" ht="20.100000000000001" customHeight="1">
      <c r="A20" s="20" t="s">
        <v>46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3" s="1" customFormat="1" ht="20.100000000000001" customHeight="1">
      <c r="A21" s="20" t="s">
        <v>45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3" s="1" customFormat="1" ht="20.100000000000001" customHeight="1">
      <c r="A22" s="20" t="s">
        <v>47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3" s="1" customFormat="1" ht="20.100000000000001" customHeight="1">
      <c r="A23" s="20" t="s">
        <v>38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3" ht="15.75">
      <c r="A24" s="4"/>
    </row>
    <row r="25" spans="1:13" ht="15.75">
      <c r="A25" s="4"/>
    </row>
    <row r="26" spans="1:13" ht="15.75">
      <c r="A26" s="4"/>
    </row>
    <row r="27" spans="1:13">
      <c r="M27" s="2" t="s">
        <v>65</v>
      </c>
    </row>
    <row r="28" spans="1:13" ht="15.75" thickBot="1">
      <c r="H28" s="2" t="s">
        <v>7</v>
      </c>
    </row>
    <row r="29" spans="1:13" ht="46.5" customHeight="1">
      <c r="A29" s="22" t="s">
        <v>8</v>
      </c>
      <c r="B29" s="22" t="s">
        <v>9</v>
      </c>
      <c r="C29" s="22" t="s">
        <v>10</v>
      </c>
      <c r="D29" s="22" t="s">
        <v>11</v>
      </c>
      <c r="E29" s="22" t="s">
        <v>12</v>
      </c>
      <c r="F29" s="22" t="s">
        <v>13</v>
      </c>
      <c r="G29" s="22" t="s">
        <v>14</v>
      </c>
      <c r="H29" s="22" t="s">
        <v>15</v>
      </c>
      <c r="I29" s="7" t="s">
        <v>16</v>
      </c>
      <c r="J29" s="22" t="s">
        <v>17</v>
      </c>
      <c r="K29" s="22" t="s">
        <v>18</v>
      </c>
      <c r="L29" s="22" t="s">
        <v>19</v>
      </c>
      <c r="M29" s="22" t="s">
        <v>20</v>
      </c>
    </row>
    <row r="30" spans="1:13" ht="15.75" customHeight="1">
      <c r="A30" s="23"/>
      <c r="B30" s="23"/>
      <c r="C30" s="23"/>
      <c r="D30" s="23"/>
      <c r="E30" s="23"/>
      <c r="F30" s="23"/>
      <c r="G30" s="23"/>
      <c r="H30" s="23"/>
      <c r="I30" s="8"/>
      <c r="J30" s="23"/>
      <c r="K30" s="23"/>
      <c r="L30" s="23"/>
      <c r="M30" s="23"/>
    </row>
    <row r="31" spans="1:13" ht="16.5" customHeight="1" thickBot="1">
      <c r="A31" s="24"/>
      <c r="B31" s="24"/>
      <c r="C31" s="24"/>
      <c r="D31" s="24"/>
      <c r="E31" s="24"/>
      <c r="F31" s="24"/>
      <c r="G31" s="24"/>
      <c r="H31" s="24"/>
      <c r="I31" s="9"/>
      <c r="J31" s="24"/>
      <c r="K31" s="24"/>
      <c r="L31" s="24"/>
      <c r="M31" s="24"/>
    </row>
    <row r="32" spans="1:13" ht="16.5" thickBot="1">
      <c r="A32" s="10"/>
      <c r="B32" s="11" t="s">
        <v>64</v>
      </c>
      <c r="C32" s="18" t="s">
        <v>53</v>
      </c>
      <c r="D32" s="11">
        <v>5000</v>
      </c>
      <c r="E32" s="11" t="s">
        <v>35</v>
      </c>
      <c r="F32" s="11">
        <f>D32*1.3</f>
        <v>6500</v>
      </c>
      <c r="G32" s="11" t="s">
        <v>36</v>
      </c>
      <c r="H32" s="11" t="s">
        <v>63</v>
      </c>
      <c r="I32" s="15">
        <v>0.3</v>
      </c>
      <c r="J32" s="11">
        <f>F32-6500</f>
        <v>0</v>
      </c>
      <c r="K32" s="11"/>
      <c r="L32" s="11"/>
      <c r="M32" s="11"/>
    </row>
    <row r="33" spans="1:13" ht="17.25" thickBot="1">
      <c r="A33" s="10"/>
      <c r="B33" s="19" t="s">
        <v>50</v>
      </c>
      <c r="C33" s="18">
        <v>45993</v>
      </c>
      <c r="D33" s="11">
        <v>15000</v>
      </c>
      <c r="E33" s="11" t="s">
        <v>35</v>
      </c>
      <c r="F33" s="11">
        <f t="shared" ref="F33:F39" si="0">D33*1.3</f>
        <v>19500</v>
      </c>
      <c r="G33" s="11" t="s">
        <v>36</v>
      </c>
      <c r="H33" s="18">
        <v>45994</v>
      </c>
      <c r="I33" s="15">
        <v>0.3</v>
      </c>
      <c r="J33" s="11">
        <f>F33-4950</f>
        <v>14550</v>
      </c>
      <c r="K33" s="11"/>
      <c r="L33" s="11"/>
      <c r="M33" s="11"/>
    </row>
    <row r="34" spans="1:13" ht="16.5" thickBot="1">
      <c r="A34" s="10"/>
      <c r="B34" s="11" t="s">
        <v>49</v>
      </c>
      <c r="C34" s="18">
        <v>45840</v>
      </c>
      <c r="D34" s="11">
        <v>8000</v>
      </c>
      <c r="E34" s="11" t="s">
        <v>35</v>
      </c>
      <c r="F34" s="11">
        <f t="shared" si="0"/>
        <v>10400</v>
      </c>
      <c r="G34" s="11" t="s">
        <v>36</v>
      </c>
      <c r="H34" s="18">
        <v>45841</v>
      </c>
      <c r="I34" s="15">
        <v>0.3</v>
      </c>
      <c r="J34" s="11">
        <f>F34-10400</f>
        <v>0</v>
      </c>
      <c r="K34" s="11"/>
      <c r="L34" s="11"/>
      <c r="M34" s="11"/>
    </row>
    <row r="35" spans="1:13" ht="16.5" thickBot="1">
      <c r="A35" s="10"/>
      <c r="B35" s="11" t="s">
        <v>51</v>
      </c>
      <c r="C35" s="18">
        <v>45779</v>
      </c>
      <c r="D35" s="11">
        <v>7000</v>
      </c>
      <c r="E35" s="11" t="s">
        <v>35</v>
      </c>
      <c r="F35" s="11">
        <f t="shared" si="0"/>
        <v>9100</v>
      </c>
      <c r="G35" s="11" t="s">
        <v>36</v>
      </c>
      <c r="H35" s="18">
        <v>45780</v>
      </c>
      <c r="I35" s="15">
        <v>0.3</v>
      </c>
      <c r="J35" s="11">
        <f>F35-9100</f>
        <v>0</v>
      </c>
      <c r="K35" s="11"/>
      <c r="L35" s="11"/>
      <c r="M35" s="11"/>
    </row>
    <row r="36" spans="1:13" ht="16.5" thickBot="1">
      <c r="A36" s="10"/>
      <c r="B36" s="11" t="s">
        <v>52</v>
      </c>
      <c r="C36" s="18" t="s">
        <v>53</v>
      </c>
      <c r="D36" s="11">
        <v>20000</v>
      </c>
      <c r="E36" s="11" t="s">
        <v>35</v>
      </c>
      <c r="F36" s="11">
        <f>D36*1.25</f>
        <v>25000</v>
      </c>
      <c r="G36" s="11" t="s">
        <v>36</v>
      </c>
      <c r="H36" s="11" t="s">
        <v>48</v>
      </c>
      <c r="I36" s="15">
        <v>0.3</v>
      </c>
      <c r="J36" s="11">
        <f>F36-4700</f>
        <v>20300</v>
      </c>
      <c r="K36" s="11"/>
      <c r="L36" s="11"/>
      <c r="M36" s="11"/>
    </row>
    <row r="37" spans="1:13" ht="16.5" thickBot="1">
      <c r="A37" s="10"/>
      <c r="B37" s="11" t="s">
        <v>54</v>
      </c>
      <c r="C37" s="18" t="s">
        <v>55</v>
      </c>
      <c r="D37" s="11">
        <v>10000</v>
      </c>
      <c r="E37" s="11" t="s">
        <v>35</v>
      </c>
      <c r="F37" s="11">
        <f t="shared" si="0"/>
        <v>13000</v>
      </c>
      <c r="G37" s="11" t="s">
        <v>36</v>
      </c>
      <c r="H37" s="18" t="s">
        <v>60</v>
      </c>
      <c r="I37" s="15">
        <v>0.3</v>
      </c>
      <c r="J37" s="11">
        <f>F37-4250</f>
        <v>8750</v>
      </c>
      <c r="K37" s="11"/>
      <c r="L37" s="11"/>
      <c r="M37" s="11"/>
    </row>
    <row r="38" spans="1:13" ht="16.5" thickBot="1">
      <c r="A38" s="10"/>
      <c r="B38" s="11" t="s">
        <v>56</v>
      </c>
      <c r="C38" s="18" t="s">
        <v>57</v>
      </c>
      <c r="D38" s="11">
        <v>4000</v>
      </c>
      <c r="E38" s="11" t="s">
        <v>35</v>
      </c>
      <c r="F38" s="11">
        <f t="shared" si="0"/>
        <v>5200</v>
      </c>
      <c r="G38" s="11" t="s">
        <v>36</v>
      </c>
      <c r="H38" s="18" t="s">
        <v>61</v>
      </c>
      <c r="I38" s="15">
        <v>0.3</v>
      </c>
      <c r="J38" s="11">
        <f>F38-2600</f>
        <v>2600</v>
      </c>
      <c r="K38" s="11"/>
      <c r="L38" s="11"/>
      <c r="M38" s="11"/>
    </row>
    <row r="39" spans="1:13" ht="16.5" thickBot="1">
      <c r="A39" s="10"/>
      <c r="B39" s="11" t="s">
        <v>58</v>
      </c>
      <c r="C39" s="18" t="s">
        <v>59</v>
      </c>
      <c r="D39" s="11">
        <v>10000</v>
      </c>
      <c r="E39" s="11" t="s">
        <v>35</v>
      </c>
      <c r="F39" s="11">
        <f t="shared" si="0"/>
        <v>13000</v>
      </c>
      <c r="G39" s="11" t="s">
        <v>36</v>
      </c>
      <c r="H39" s="11" t="s">
        <v>62</v>
      </c>
      <c r="I39" s="15">
        <v>0.3</v>
      </c>
      <c r="J39" s="11">
        <f>F39-2000</f>
        <v>11000</v>
      </c>
      <c r="K39" s="11"/>
      <c r="L39" s="11"/>
      <c r="M39" s="11"/>
    </row>
    <row r="40" spans="1:13" ht="16.5" thickBot="1">
      <c r="A40" s="10"/>
      <c r="B40" s="11"/>
      <c r="C40" s="11"/>
      <c r="D40" s="11"/>
      <c r="E40" s="11"/>
      <c r="F40" s="11"/>
      <c r="G40" s="11"/>
      <c r="H40" s="11"/>
      <c r="I40" s="15"/>
      <c r="J40" s="11"/>
      <c r="K40" s="11"/>
      <c r="L40" s="11"/>
      <c r="M40" s="11"/>
    </row>
    <row r="41" spans="1:13" ht="16.5" thickBot="1">
      <c r="A41" s="10"/>
      <c r="B41" s="11"/>
      <c r="C41" s="17" t="s">
        <v>37</v>
      </c>
      <c r="D41" s="16">
        <f>SUM(D32:D39)</f>
        <v>79000</v>
      </c>
      <c r="E41" s="11"/>
      <c r="F41" s="16">
        <f>SUM(F32:F39)</f>
        <v>101700</v>
      </c>
      <c r="G41" s="11"/>
      <c r="H41" s="11"/>
      <c r="I41" s="15"/>
      <c r="J41" s="11"/>
      <c r="K41" s="11"/>
      <c r="L41" s="11"/>
      <c r="M41" s="11"/>
    </row>
    <row r="42" spans="1:13" ht="16.5" thickBot="1">
      <c r="A42" s="10"/>
      <c r="B42" s="11"/>
      <c r="C42" s="11"/>
      <c r="D42" s="11"/>
      <c r="E42" s="11"/>
      <c r="F42" s="11"/>
      <c r="G42" s="11"/>
      <c r="H42" s="11"/>
      <c r="I42" s="15"/>
      <c r="J42" s="11"/>
      <c r="K42" s="11"/>
      <c r="L42" s="11"/>
      <c r="M42" s="11"/>
    </row>
    <row r="43" spans="1:13" ht="16.5" thickBot="1">
      <c r="A43" s="10"/>
      <c r="B43" s="11"/>
      <c r="C43" s="11"/>
      <c r="D43" s="11"/>
      <c r="E43" s="11"/>
      <c r="F43" s="11"/>
      <c r="G43" s="11"/>
      <c r="H43" s="11"/>
      <c r="I43" s="15"/>
      <c r="J43" s="11"/>
      <c r="K43" s="11"/>
      <c r="L43" s="11"/>
      <c r="M43" s="11"/>
    </row>
    <row r="44" spans="1:13" ht="16.5" thickBot="1">
      <c r="A44" s="10"/>
      <c r="B44" s="11"/>
      <c r="C44" s="11"/>
      <c r="D44" s="11"/>
      <c r="E44" s="11"/>
      <c r="F44" s="11"/>
      <c r="G44" s="11"/>
      <c r="H44" s="11"/>
      <c r="I44" s="15"/>
      <c r="J44" s="11"/>
      <c r="K44" s="11"/>
      <c r="L44" s="11"/>
      <c r="M44" s="11"/>
    </row>
    <row r="45" spans="1:13" ht="16.5" thickBot="1">
      <c r="A45" s="10"/>
      <c r="B45" s="11"/>
      <c r="C45" s="11"/>
      <c r="D45" s="11"/>
      <c r="E45" s="11"/>
      <c r="F45" s="11"/>
      <c r="G45" s="11"/>
      <c r="H45" s="11"/>
      <c r="I45" s="15"/>
      <c r="J45" s="11"/>
      <c r="K45" s="11"/>
      <c r="L45" s="11"/>
      <c r="M45" s="11"/>
    </row>
    <row r="46" spans="1:13" ht="15.7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3" ht="15.7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9" spans="1:1">
      <c r="A49" s="13" t="s">
        <v>21</v>
      </c>
    </row>
    <row r="50" spans="1:1">
      <c r="A50" s="14"/>
    </row>
    <row r="51" spans="1:1">
      <c r="A51" s="2" t="s">
        <v>22</v>
      </c>
    </row>
    <row r="52" spans="1:1">
      <c r="A52" s="2" t="s">
        <v>23</v>
      </c>
    </row>
    <row r="53" spans="1:1">
      <c r="A53" s="2" t="s">
        <v>24</v>
      </c>
    </row>
    <row r="54" spans="1:1">
      <c r="A54" s="2" t="s">
        <v>25</v>
      </c>
    </row>
    <row r="55" spans="1:1">
      <c r="A55" s="2" t="s">
        <v>26</v>
      </c>
    </row>
    <row r="56" spans="1:1">
      <c r="A56" s="2" t="s">
        <v>27</v>
      </c>
    </row>
    <row r="57" spans="1:1">
      <c r="A57" s="2" t="s">
        <v>28</v>
      </c>
    </row>
    <row r="58" spans="1:1">
      <c r="A58" s="2" t="s">
        <v>29</v>
      </c>
    </row>
    <row r="59" spans="1:1">
      <c r="A59" s="2" t="s">
        <v>30</v>
      </c>
    </row>
    <row r="60" spans="1:1">
      <c r="A60" s="2" t="s">
        <v>31</v>
      </c>
    </row>
    <row r="61" spans="1:1">
      <c r="A61" s="2" t="s">
        <v>32</v>
      </c>
    </row>
    <row r="62" spans="1:1">
      <c r="A62" s="2" t="s">
        <v>33</v>
      </c>
    </row>
    <row r="63" spans="1:1">
      <c r="A63" s="2" t="s">
        <v>34</v>
      </c>
    </row>
  </sheetData>
  <mergeCells count="30">
    <mergeCell ref="M29:M31"/>
    <mergeCell ref="A29:A31"/>
    <mergeCell ref="B29:B31"/>
    <mergeCell ref="C29:C31"/>
    <mergeCell ref="D29:D31"/>
    <mergeCell ref="E29:E31"/>
    <mergeCell ref="F29:F31"/>
    <mergeCell ref="G29:G31"/>
    <mergeCell ref="H29:H31"/>
    <mergeCell ref="J29:J31"/>
    <mergeCell ref="K29:K31"/>
    <mergeCell ref="L29:L31"/>
    <mergeCell ref="A23:L23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11:L11"/>
    <mergeCell ref="A3:C3"/>
    <mergeCell ref="A4:C4"/>
    <mergeCell ref="A5:C5"/>
    <mergeCell ref="A6:C6"/>
    <mergeCell ref="A10:C10"/>
  </mergeCells>
  <pageMargins left="0.7" right="0.7" top="0.75" bottom="0.75" header="0.3" footer="0.3"/>
  <pageSetup orientation="portrait" r:id="rId1"/>
  <ignoredErrors>
    <ignoredError sqref="F3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Fevereiro de 2025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Hassamo Cassamo</dc:creator>
  <cp:lastModifiedBy>DELL</cp:lastModifiedBy>
  <dcterms:created xsi:type="dcterms:W3CDTF">2021-11-25T07:12:37Z</dcterms:created>
  <dcterms:modified xsi:type="dcterms:W3CDTF">2025-04-02T23:46:50Z</dcterms:modified>
</cp:coreProperties>
</file>